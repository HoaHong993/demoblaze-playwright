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</sheets>
  <definedNames>
    <definedName function="false" hidden="true" localSheetId="1" name="_xlnm._FilterDatabase" vbProcedure="false">'Test Cases'!$A$1:$N$55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<sst xmlns="http://schemas.openxmlformats.org/spreadsheetml/2006/main" count="704" uniqueCount="348">
  <si>
    <t xml:space="preserve">DemoBlaze – Test Case Suite (Login &amp; Cart)</t>
  </si>
  <si>
    <t xml:space="preserve">Application</t>
  </si>
  <si>
    <t xml:space="preserve">https://www.demoblaze.com</t>
  </si>
  <si>
    <t xml:space="preserve">Scope</t>
  </si>
  <si>
    <t xml:space="preserve">Login, Cart, Place Order</t>
  </si>
  <si>
    <t xml:space="preserve">Prepared by</t>
  </si>
  <si>
    <t xml:space="preserve">QA Automation candidate</t>
  </si>
  <si>
    <t xml:space="preserve">Date</t>
  </si>
  <si>
    <t xml:space="preserve">14/10/2026</t>
  </si>
  <si>
    <t xml:space="preserve">Test types</t>
  </si>
  <si>
    <t xml:space="preserve">Functional, Edge, Negative</t>
  </si>
  <si>
    <t xml:space="preserve">Module / Type</t>
  </si>
  <si>
    <t xml:space="preserve">Functional</t>
  </si>
  <si>
    <t xml:space="preserve">Edge</t>
  </si>
  <si>
    <t xml:space="preserve">Negative</t>
  </si>
  <si>
    <t xml:space="preserve">Total</t>
  </si>
  <si>
    <t xml:space="preserve">Automated</t>
  </si>
  <si>
    <t xml:space="preserve">Login</t>
  </si>
  <si>
    <t xml:space="preserve">Cart &amp; Place Order</t>
  </si>
  <si>
    <t xml:space="preserve">Automation coverage</t>
  </si>
  <si>
    <t xml:space="preserve">Execution status</t>
  </si>
  <si>
    <t xml:space="preserve">Pass</t>
  </si>
  <si>
    <t xml:space="preserve">Fail</t>
  </si>
  <si>
    <t xml:space="preserve">Blocked</t>
  </si>
  <si>
    <t xml:space="preserve">Skipped</t>
  </si>
  <si>
    <t xml:space="preserve">Not Run</t>
  </si>
  <si>
    <t xml:space="preserve">How to use</t>
  </si>
  <si>
    <t xml:space="preserve">• Yellow cells in 'Test Cases' (Actual Result, Status) are filled during execution.</t>
  </si>
  <si>
    <t xml:space="preserve">• Status uses a dropdown: Not Run / Pass / Fail / Blocked / Skipped. Counts above update automatically.</t>
  </si>
  <si>
    <t xml:space="preserve">• 'Automated' maps each case to its Playwright spec in the GitHub repository.</t>
  </si>
  <si>
    <t xml:space="preserve">• Notes marked 'Potential defect' are behaviours commonly reported for DemoBlaze; confirm during execution.</t>
  </si>
  <si>
    <t xml:space="preserve">• Priority: High = core flow / security, Medium = important variation, Low = cosmetic or rare.</t>
  </si>
  <si>
    <t xml:space="preserve">TC ID</t>
  </si>
  <si>
    <t xml:space="preserve">Module</t>
  </si>
  <si>
    <t xml:space="preserve">Feature</t>
  </si>
  <si>
    <t xml:space="preserve">Test Scenario</t>
  </si>
  <si>
    <t xml:space="preserve">Type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</si>
  <si>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</si>
  <si>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</si>
  <si>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</si>
  <si>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</si>
  <si>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</si>
  <si>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</si>
  <si>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</si>
  <si>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Notes</t>
  </si>
  <si>
    <t xml:space="preserve">TC_LOGIN_01</t>
  </si>
  <si>
    <t xml:space="preserve">Login with valid credentials</t>
  </si>
  <si>
    <t xml:space="preserve">High</t>
  </si>
  <si>
    <t xml:space="preserve">A registered account exists (U1 / P1)</t>
  </si>
  <si>
    <t xml:space="preserve">1. Open https://www.demoblaze.com
2. Click 'Log in' in the navbar
3. Enter valid username and password
4. Click 'Log in'</t>
  </si>
  <si>
    <t xml:space="preserve">Username: U1
Password: P1</t>
  </si>
  <si>
    <t xml:space="preserve">Modal closes. Navbar shows 'Welcome U1' and 'Log out'. 'Log in' and 'Sign up' are hidden.</t>
  </si>
  <si>
    <t xml:space="preserve">Yes – tests/ui/login.spec.ts (desktop + mobile)</t>
  </si>
  <si>
    <t xml:space="preserve">TC_LOGIN_02</t>
  </si>
  <si>
    <t xml:space="preserve">Session</t>
  </si>
  <si>
    <t xml:space="preserve">Session persists after page reload</t>
  </si>
  <si>
    <t xml:space="preserve">Medium</t>
  </si>
  <si>
    <t xml:space="preserve">1. Log in as U1
2. Reload the page (F5)</t>
  </si>
  <si>
    <t xml:space="preserve">U1 / P1</t>
  </si>
  <si>
    <t xml:space="preserve">User stays logged in; 'Welcome U1' still displayed.</t>
  </si>
  <si>
    <t xml:space="preserve">Yes – login.spec.ts</t>
  </si>
  <si>
    <t xml:space="preserve">TC_LOGIN_03</t>
  </si>
  <si>
    <t xml:space="preserve">Logout</t>
  </si>
  <si>
    <t xml:space="preserve">Logout returns to guest state</t>
  </si>
  <si>
    <t xml:space="preserve">User U1 is logged in</t>
  </si>
  <si>
    <t xml:space="preserve">1. Click 'Log out'</t>
  </si>
  <si>
    <t xml:space="preserve">-</t>
  </si>
  <si>
    <t xml:space="preserve">'Log in' and 'Sign up' shown again; 'Welcome' and 'Log out' hidden; session cleared.</t>
  </si>
  <si>
    <t xml:space="preserve">TC_LOGIN_04</t>
  </si>
  <si>
    <t xml:space="preserve">Username is case-sensitive</t>
  </si>
  <si>
    <t xml:space="preserve">1. Open https://www.demoblaze.com
2. Click 'Log in' in the navbar
3. Enter U1 in different letter case with correct password
4. Click 'Log in'</t>
  </si>
  <si>
    <t xml:space="preserve">Username: upper-case variant of U1
Password: P1</t>
  </si>
  <si>
    <t xml:space="preserve">Login behaviour is consistent with sign-up rules: a username differing only by case is not treated as U1 (error 'User does not exist.').</t>
  </si>
  <si>
    <t xml:space="preserve">No</t>
  </si>
  <si>
    <t xml:space="preserve">Clarify expected rule with PO if undocumented.</t>
  </si>
  <si>
    <t xml:space="preserve">TC_LOGIN_05</t>
  </si>
  <si>
    <t xml:space="preserve">Login with wrong password</t>
  </si>
  <si>
    <t xml:space="preserve">1. Open https://www.demoblaze.com
2. Click 'Log in' in the navbar
3. Enter valid username, wrong password
4. Click 'Log in'</t>
  </si>
  <si>
    <t xml:space="preserve">Username: U1
Password: P1_wrong</t>
  </si>
  <si>
    <t xml:space="preserve">Alert 'Wrong password.' is displayed. User is not logged in.</t>
  </si>
  <si>
    <t xml:space="preserve">TC_LOGIN_06</t>
  </si>
  <si>
    <t xml:space="preserve">Login with non-existent username</t>
  </si>
  <si>
    <t xml:space="preserve">1. Open https://www.demoblaze.com
2. Click 'Log in' in the navbar
3. Enter an unregistered username and any password
4. Click 'Log in'</t>
  </si>
  <si>
    <t xml:space="preserve">Username: ghost_&lt;random&gt;
Password: AnyPassword123</t>
  </si>
  <si>
    <t xml:space="preserve">Alert 'User does not exist.' is displayed. User is not logged in.</t>
  </si>
  <si>
    <t xml:space="preserve">TC_LOGIN_07</t>
  </si>
  <si>
    <t xml:space="preserve">Validation</t>
  </si>
  <si>
    <t xml:space="preserve">Both username and password empty</t>
  </si>
  <si>
    <t xml:space="preserve">1. Open https://www.demoblaze.com
2. Click 'Log in' in the navbar
3. Leave both fields empty
4. Click 'Log in'</t>
  </si>
  <si>
    <t xml:space="preserve">(empty) / (empty)</t>
  </si>
  <si>
    <t xml:space="preserve">Alert 'Please fill out Username and Password.' is displayed.</t>
  </si>
  <si>
    <t xml:space="preserve">TC_LOGIN_08</t>
  </si>
  <si>
    <t xml:space="preserve">Username empty, password filled</t>
  </si>
  <si>
    <t xml:space="preserve">1. Open https://www.demoblaze.com
2. Click 'Log in' in the navbar
3. Leave username empty, enter password
4. Click 'Log in'</t>
  </si>
  <si>
    <t xml:space="preserve">(empty) / Secret123</t>
  </si>
  <si>
    <t xml:space="preserve">TC_LOGIN_09</t>
  </si>
  <si>
    <t xml:space="preserve">Username filled, password empty</t>
  </si>
  <si>
    <t xml:space="preserve">1. Open https://www.demoblaze.com
2. Click 'Log in' in the navbar
3. Enter username, leave password empty
4. Click 'Log in'</t>
  </si>
  <si>
    <t xml:space="preserve">someone / (empty)</t>
  </si>
  <si>
    <t xml:space="preserve">TC_LOGIN_10</t>
  </si>
  <si>
    <t xml:space="preserve">Leading/trailing spaces around username</t>
  </si>
  <si>
    <t xml:space="preserve">1. Open https://www.demoblaze.com
2. Click 'Log in' in the navbar
3. Enter '  U1  ' (spaces) with correct password
4. Click 'Log in'</t>
  </si>
  <si>
    <t xml:space="preserve">'  U1  ' / P1</t>
  </si>
  <si>
    <t xml:space="preserve">Input is trimmed and login succeeds, OR a clear error is shown. Behaviour must match sign-up handling.</t>
  </si>
  <si>
    <t xml:space="preserve">TC_LOGIN_11</t>
  </si>
  <si>
    <t xml:space="preserve">Whitespace-only username and password</t>
  </si>
  <si>
    <t xml:space="preserve">1. Open https://www.demoblaze.com
2. Click 'Log in' in the navbar
3. Enter only spaces in both fields
4. Click 'Log in'</t>
  </si>
  <si>
    <t xml:space="preserve">'   ' / '   '</t>
  </si>
  <si>
    <t xml:space="preserve">Treated as empty: validation alert shown, no login request succeeds.</t>
  </si>
  <si>
    <t xml:space="preserve">TC_LOGIN_12</t>
  </si>
  <si>
    <t xml:space="preserve">Password is case-sensitive</t>
  </si>
  <si>
    <t xml:space="preserve">1. Open https://www.demoblaze.com
2. Click 'Log in' in the navbar
3. Enter U1 and P1 with letter case changed
4. Click 'Log in'</t>
  </si>
  <si>
    <t xml:space="preserve">U1 / P1 (case swapped)</t>
  </si>
  <si>
    <t xml:space="preserve">Alert 'Wrong password.'; user not logged in.</t>
  </si>
  <si>
    <t xml:space="preserve">TC_LOGIN_13</t>
  </si>
  <si>
    <t xml:space="preserve">Security</t>
  </si>
  <si>
    <t xml:space="preserve">Password field is masked</t>
  </si>
  <si>
    <t xml:space="preserve">1. Open https://www.demoblaze.com
2. Click 'Log in' in the navbar
3. Type a password</t>
  </si>
  <si>
    <t xml:space="preserve">Secret123</t>
  </si>
  <si>
    <t xml:space="preserve">Characters are masked (input type='password').</t>
  </si>
  <si>
    <t xml:space="preserve">TC_LOGIN_14</t>
  </si>
  <si>
    <t xml:space="preserve">Very long username / password (255+ chars)</t>
  </si>
  <si>
    <t xml:space="preserve">Low</t>
  </si>
  <si>
    <t xml:space="preserve">1. Open https://www.demoblaze.com
2. Click 'Log in' in the navbar
3. Paste 256-character strings into both fields
4. Click 'Log in'</t>
  </si>
  <si>
    <t xml:space="preserve">256 x 'a'</t>
  </si>
  <si>
    <t xml:space="preserve">No crash or freeze; field length is limited or a proper error is shown.</t>
  </si>
  <si>
    <t xml:space="preserve">TC_LOGIN_15</t>
  </si>
  <si>
    <t xml:space="preserve">SQL injection payload in credentials</t>
  </si>
  <si>
    <t xml:space="preserve">1. Open https://www.demoblaze.com
2. Click 'Log in' in the navbar
3. Enter SQL payload in both fields
4. Click 'Log in'</t>
  </si>
  <si>
    <t xml:space="preserve">' OR '1'='1</t>
  </si>
  <si>
    <t xml:space="preserve">Login is rejected with an error alert; user NOT authenticated; no server error exposed.</t>
  </si>
  <si>
    <t xml:space="preserve">TC_LOGIN_16</t>
  </si>
  <si>
    <t xml:space="preserve">Close modal without submitting</t>
  </si>
  <si>
    <t xml:space="preserve">1. Open https://www.demoblaze.com
2. Click 'Log in' in the navbar
3. Enter valid credentials
4. Click 'Close'</t>
  </si>
  <si>
    <t xml:space="preserve">Modal closes; user remains a guest ('Log in' visible).</t>
  </si>
  <si>
    <t xml:space="preserve">TC_LOGIN_17</t>
  </si>
  <si>
    <t xml:space="preserve">XSS payload in username</t>
  </si>
  <si>
    <t xml:space="preserve">1. Open https://www.demoblaze.com
2. Click 'Log in' in the navbar
3. Enter &lt;script&gt;alert('xss')&lt;/script&gt; as username
4. Click 'Log in'</t>
  </si>
  <si>
    <t xml:space="preserve">&lt;script&gt;alert('xss')&lt;/script&gt; / any</t>
  </si>
  <si>
    <t xml:space="preserve">Script is not executed; only the normal error alert appears; payload never rendered as HTML.</t>
  </si>
  <si>
    <t xml:space="preserve">TC_LOGIN_18</t>
  </si>
  <si>
    <t xml:space="preserve">Usability</t>
  </si>
  <si>
    <t xml:space="preserve">Submit login with Enter key</t>
  </si>
  <si>
    <t xml:space="preserve">1. Open https://www.demoblaze.com
2. Click 'Log in' in the navbar
3. Enter credentials
4. Press Enter in password field</t>
  </si>
  <si>
    <t xml:space="preserve">Form is submitted and user is logged in (keyboard accessibility).</t>
  </si>
  <si>
    <t xml:space="preserve">Potential usability defect if Enter does nothing.</t>
  </si>
  <si>
    <t xml:space="preserve">TC_LOGIN_19</t>
  </si>
  <si>
    <t xml:space="preserve">Multiple rapid clicks on 'Log in' button</t>
  </si>
  <si>
    <t xml:space="preserve">1. Open https://www.demoblaze.com
2. Click 'Log in' in the navbar
3. Enter valid credentials
4. Double/triple-click 'Log in' quickly</t>
  </si>
  <si>
    <t xml:space="preserve">User logged in once; no duplicate alerts or errors.</t>
  </si>
  <si>
    <t xml:space="preserve">TC_LOGIN_20</t>
  </si>
  <si>
    <t xml:space="preserve">Login state shared across browser tabs</t>
  </si>
  <si>
    <t xml:space="preserve">User U1 logged in, tab A</t>
  </si>
  <si>
    <t xml:space="preserve">1. Open https://www.demoblaze.com in new tab B</t>
  </si>
  <si>
    <t xml:space="preserve">Tab B shows 'Welcome U1' (same session cookie).</t>
  </si>
  <si>
    <t xml:space="preserve">TC_LOGIN_21</t>
  </si>
  <si>
    <t xml:space="preserve">Unicode / Vietnamese characters in username</t>
  </si>
  <si>
    <t xml:space="preserve">Account 'kiểm_thử' registered</t>
  </si>
  <si>
    <t xml:space="preserve">1. Open https://www.demoblaze.com
2. Click 'Log in' in the navbar
3. Enter unicode username and its password
4. Click 'Log in'</t>
  </si>
  <si>
    <t xml:space="preserve">kiểm_thử / P1</t>
  </si>
  <si>
    <t xml:space="preserve">Login succeeds; welcome text renders unicode correctly.</t>
  </si>
  <si>
    <t xml:space="preserve">TC_LOGIN_22</t>
  </si>
  <si>
    <t xml:space="preserve">Cross-platform</t>
  </si>
  <si>
    <t xml:space="preserve">Login on mobile viewport (Pixel 7 / iPhone 14)</t>
  </si>
  <si>
    <t xml:space="preserve">1. Open site on mobile viewport
2. Open hamburger menu
3. Click 'Log in' and submit valid credentials</t>
  </si>
  <si>
    <t xml:space="preserve">Same result as TC_LOGIN_01; layout usable on small screen.</t>
  </si>
  <si>
    <t xml:space="preserve">Yes – mobile-chrome / mobile-safari projects</t>
  </si>
  <si>
    <t xml:space="preserve">TC_CART_01</t>
  </si>
  <si>
    <t xml:space="preserve">Cart</t>
  </si>
  <si>
    <t xml:space="preserve">Add to cart</t>
  </si>
  <si>
    <t xml:space="preserve">Guest adds a product to cart</t>
  </si>
  <si>
    <t xml:space="preserve">Not logged in</t>
  </si>
  <si>
    <t xml:space="preserve">1. Open product 'Samsung galaxy s6'
2. Note the price
3. Click 'Add to cart'
4. Accept alert
5. Open 'Cart'</t>
  </si>
  <si>
    <t xml:space="preserve">Product id 1</t>
  </si>
  <si>
    <t xml:space="preserve">Alert 'Product added'. Cart shows 1 row with correct title and price; Total = product price.</t>
  </si>
  <si>
    <t xml:space="preserve">Yes – tests/ui/cart.spec.ts</t>
  </si>
  <si>
    <t xml:space="preserve">TC_CART_02</t>
  </si>
  <si>
    <t xml:space="preserve">Logged-in user adds a product to cart</t>
  </si>
  <si>
    <t xml:space="preserve">User logged in, empty cart</t>
  </si>
  <si>
    <t xml:space="preserve">1. Open 'Nokia lumia 1520'
2. Click 'Add to cart'
3. Open 'Cart'</t>
  </si>
  <si>
    <t xml:space="preserve">Product id 2</t>
  </si>
  <si>
    <t xml:space="preserve">Product listed once in cart with correct price.</t>
  </si>
  <si>
    <t xml:space="preserve">Yes – cart.spec.ts</t>
  </si>
  <si>
    <t xml:space="preserve">TC_CART_03</t>
  </si>
  <si>
    <t xml:space="preserve">Products from different categories – total is the sum</t>
  </si>
  <si>
    <t xml:space="preserve">1. Add a phone, a laptop and a monitor
2. Open 'Cart'</t>
  </si>
  <si>
    <t xml:space="preserve">Samsung galaxy s6, Sony vaio i5, Apple monitor 24</t>
  </si>
  <si>
    <t xml:space="preserve">3 rows displayed; Total = sum of the 3 prices.</t>
  </si>
  <si>
    <t xml:space="preserve">TC_CART_04</t>
  </si>
  <si>
    <t xml:space="preserve">Add the same product twice</t>
  </si>
  <si>
    <t xml:space="preserve">1. Add 'Samsung galaxy s6'
2. Add it again
3. Open 'Cart'</t>
  </si>
  <si>
    <t xml:space="preserve">Product id 1 x2</t>
  </si>
  <si>
    <t xml:space="preserve">2 rows for the product; Total = 2 x price.</t>
  </si>
  <si>
    <t xml:space="preserve">No quantity field: each add creates a new line.</t>
  </si>
  <si>
    <t xml:space="preserve">TC_CART_05</t>
  </si>
  <si>
    <t xml:space="preserve">Delete</t>
  </si>
  <si>
    <t xml:space="preserve">Delete one item updates list and total</t>
  </si>
  <si>
    <t xml:space="preserve">Cart has 2 different products</t>
  </si>
  <si>
    <t xml:space="preserve">1. Open 'Cart'
2. Click 'Delete' on one product</t>
  </si>
  <si>
    <t xml:space="preserve">Row removed; Total recalculated to remaining item price.</t>
  </si>
  <si>
    <t xml:space="preserve">TC_CART_06</t>
  </si>
  <si>
    <t xml:space="preserve">Delete the last item leaves empty cart</t>
  </si>
  <si>
    <t xml:space="preserve">Cart has 1 product</t>
  </si>
  <si>
    <t xml:space="preserve">1. Open 'Cart'
2. Click 'Delete'</t>
  </si>
  <si>
    <t xml:space="preserve">No rows; Total is empty / 0.</t>
  </si>
  <si>
    <t xml:space="preserve">TC_CART_07</t>
  </si>
  <si>
    <t xml:space="preserve">Persistence</t>
  </si>
  <si>
    <t xml:space="preserve">Cart kept on account after logout and login</t>
  </si>
  <si>
    <t xml:space="preserve">User logged in</t>
  </si>
  <si>
    <t xml:space="preserve">1. Add a product
2. Log out
3. Log in again with same user
4. Open 'Cart'</t>
  </si>
  <si>
    <t xml:space="preserve">Sony vaio i5</t>
  </si>
  <si>
    <t xml:space="preserve">Previously added product still in cart.</t>
  </si>
  <si>
    <t xml:space="preserve">TC_CART_08</t>
  </si>
  <si>
    <t xml:space="preserve">Integration</t>
  </si>
  <si>
    <t xml:space="preserve">Item added via API appears in UI cart</t>
  </si>
  <si>
    <t xml:space="preserve">User exists</t>
  </si>
  <si>
    <t xml:space="preserve">1. Call /addtocart API with user token
2. Log in on UI
3. Open 'Cart'</t>
  </si>
  <si>
    <t xml:space="preserve">Product shown in UI cart (front-end and back-end consistent).</t>
  </si>
  <si>
    <t xml:space="preserve">TC_CART_09</t>
  </si>
  <si>
    <t xml:space="preserve">Cart persists after page refresh</t>
  </si>
  <si>
    <t xml:space="preserve">Cart has 1+ product</t>
  </si>
  <si>
    <t xml:space="preserve">1. Open 'Cart'
2. Reload page</t>
  </si>
  <si>
    <t xml:space="preserve">Same items and total are shown after reload.</t>
  </si>
  <si>
    <t xml:space="preserve">TC_CART_10</t>
  </si>
  <si>
    <t xml:space="preserve">Isolation</t>
  </si>
  <si>
    <t xml:space="preserve">Carts are isolated between users</t>
  </si>
  <si>
    <t xml:space="preserve">Users A and B exist</t>
  </si>
  <si>
    <t xml:space="preserve">1. User A adds a product
2. Log in as user B
3. Open 'Cart'</t>
  </si>
  <si>
    <t xml:space="preserve">User B does not see user A's items.</t>
  </si>
  <si>
    <t xml:space="preserve">Yes – tests/api/cart.api.spec.ts (API_CART_02)</t>
  </si>
  <si>
    <t xml:space="preserve">TC_CART_11</t>
  </si>
  <si>
    <t xml:space="preserve">Guest cart vs. account cart after login</t>
  </si>
  <si>
    <t xml:space="preserve">Guest cart has 1 product; user has empty cart</t>
  </si>
  <si>
    <t xml:space="preserve">1. As guest, add a product
2. Log in
3. Open 'Cart'</t>
  </si>
  <si>
    <t xml:space="preserve">Behaviour is defined and consistent (guest items merged OR clearly not shown). No items lost silently.</t>
  </si>
  <si>
    <t xml:space="preserve">Clarify business rule; record actual behaviour.</t>
  </si>
  <si>
    <t xml:space="preserve">TC_CART_12</t>
  </si>
  <si>
    <t xml:space="preserve">Rapid double-click on 'Add to cart'</t>
  </si>
  <si>
    <t xml:space="preserve">Empty cart</t>
  </si>
  <si>
    <t xml:space="preserve">1. Open a product
2. Double-click 'Add to cart' quickly
3. Open 'Cart'</t>
  </si>
  <si>
    <t xml:space="preserve">Number of rows equals number of confirmed 'Product added' alerts; no errors.</t>
  </si>
  <si>
    <t xml:space="preserve">TC_CART_13</t>
  </si>
  <si>
    <t xml:space="preserve">Add to cart while offline</t>
  </si>
  <si>
    <t xml:space="preserve">1. Open a product
2. Set browser offline (DevTools)
3. Click 'Add to cart'</t>
  </si>
  <si>
    <t xml:space="preserve">An error is shown; no 'Product added' message; item not added.</t>
  </si>
  <si>
    <t xml:space="preserve">TC_CART_14</t>
  </si>
  <si>
    <t xml:space="preserve">UI</t>
  </si>
  <si>
    <t xml:space="preserve">Empty cart state</t>
  </si>
  <si>
    <t xml:space="preserve">Fresh user / empty cart</t>
  </si>
  <si>
    <t xml:space="preserve">1. Open 'Cart'</t>
  </si>
  <si>
    <t xml:space="preserve">Table shows no rows; Total is empty or 0; page does not error.</t>
  </si>
  <si>
    <t xml:space="preserve">TC_CART_15</t>
  </si>
  <si>
    <t xml:space="preserve">Many items (20) – total and performance</t>
  </si>
  <si>
    <t xml:space="preserve">1. Add 20 products (can be seeded via API)
2. Open 'Cart'</t>
  </si>
  <si>
    <t xml:space="preserve">20 items</t>
  </si>
  <si>
    <t xml:space="preserve">All 20 rows load within acceptable time; Total equals sum of prices.</t>
  </si>
  <si>
    <t xml:space="preserve">TC_CART_16</t>
  </si>
  <si>
    <t xml:space="preserve">Product</t>
  </si>
  <si>
    <t xml:space="preserve">Product page with invalid id</t>
  </si>
  <si>
    <t xml:space="preserve">1. Open https://www.demoblaze.com/prod.html?idp_=99999</t>
  </si>
  <si>
    <t xml:space="preserve">idp_=99999</t>
  </si>
  <si>
    <t xml:space="preserve">Friendly 'not found' state; 'Add to cart' cannot add a non-existent product.</t>
  </si>
  <si>
    <t xml:space="preserve">TC_CART_17</t>
  </si>
  <si>
    <t xml:space="preserve">Double-click 'Delete'</t>
  </si>
  <si>
    <t xml:space="preserve">Cart has 2 products</t>
  </si>
  <si>
    <t xml:space="preserve">1. Open 'Cart'
2. Double-click 'Delete' on one row</t>
  </si>
  <si>
    <t xml:space="preserve">Only that one item is removed; no error.</t>
  </si>
  <si>
    <t xml:space="preserve">TC_ORDER_01</t>
  </si>
  <si>
    <t xml:space="preserve">Place order</t>
  </si>
  <si>
    <t xml:space="preserve">E2E: login, add to cart, place order</t>
  </si>
  <si>
    <t xml:space="preserve">1. Log in as U1
2. Add 'Samsung galaxy s6' and 'Sony vaio i5'
3. Open 'Cart', verify rows &amp; Total
4. Click 'Place Order'
5. Fill all fields
6. Click 'Purchase'
7. Click 'OK'</t>
  </si>
  <si>
    <t xml:space="preserve">Name: QA Automation
Country: Vietnam
City: Can Tho
Card: 4111111111111111
Month: 10
Year: 2026</t>
  </si>
  <si>
    <t xml:space="preserve">Order modal shows correct Total. Confirmation 'Thank you for your purchase!' with Id, Amount = cart total, card number and name entered. After OK: redirected to home and cart is empty.</t>
  </si>
  <si>
    <t xml:space="preserve">Yes – tests/ui/place-order.spec.ts</t>
  </si>
  <si>
    <t xml:space="preserve">Main demo scenario.</t>
  </si>
  <si>
    <t xml:space="preserve">TC_ORDER_02</t>
  </si>
  <si>
    <t xml:space="preserve">Guest places an order</t>
  </si>
  <si>
    <t xml:space="preserve">Not logged in; cart has 1 product</t>
  </si>
  <si>
    <t xml:space="preserve">1. Open 'Cart'
2. 'Place Order'
3. Fill all fields
4. 'Purchase'</t>
  </si>
  <si>
    <t xml:space="preserve">Valid order data</t>
  </si>
  <si>
    <t xml:space="preserve">Purchase confirmation shown with correct amount.</t>
  </si>
  <si>
    <t xml:space="preserve">Yes – place-order.spec.ts</t>
  </si>
  <si>
    <t xml:space="preserve">TC_ORDER_03</t>
  </si>
  <si>
    <t xml:space="preserve">Only required fields (Name, Credit card)</t>
  </si>
  <si>
    <t xml:space="preserve">1. 'Place Order'
2. Fill only Name and Credit card
3. 'Purchase'</t>
  </si>
  <si>
    <t xml:space="preserve">Name + Card only</t>
  </si>
  <si>
    <t xml:space="preserve">Purchase succeeds (Country, City, Month, Year optional).</t>
  </si>
  <si>
    <t xml:space="preserve">TC_ORDER_04</t>
  </si>
  <si>
    <t xml:space="preserve">Submit order form with all fields empty</t>
  </si>
  <si>
    <t xml:space="preserve">1. 'Place Order'
2. Click 'Purchase' without input</t>
  </si>
  <si>
    <t xml:space="preserve">(all empty)</t>
  </si>
  <si>
    <t xml:space="preserve">Alert 'Please fill out Name and Creditcard.'; no order created.</t>
  </si>
  <si>
    <t xml:space="preserve">TC_ORDER_05</t>
  </si>
  <si>
    <t xml:space="preserve">Missing Name</t>
  </si>
  <si>
    <t xml:space="preserve">1. 'Place Order'
2. Fill all fields except Name
3. 'Purchase'</t>
  </si>
  <si>
    <t xml:space="preserve">Name empty</t>
  </si>
  <si>
    <t xml:space="preserve">Alert 'Please fill out Name and Creditcard.'; order form stays open.</t>
  </si>
  <si>
    <t xml:space="preserve">TC_ORDER_06</t>
  </si>
  <si>
    <t xml:space="preserve">Missing Credit card</t>
  </si>
  <si>
    <t xml:space="preserve">1. 'Place Order'
2. Fill all fields except Credit card
3. 'Purchase'</t>
  </si>
  <si>
    <t xml:space="preserve">Card empty</t>
  </si>
  <si>
    <t xml:space="preserve">TC_ORDER_07</t>
  </si>
  <si>
    <t xml:space="preserve">Close order form without purchasing</t>
  </si>
  <si>
    <t xml:space="preserve">1. 'Place Order'
2. Click 'Close'</t>
  </si>
  <si>
    <t xml:space="preserve">Modal closes; cart unchanged.</t>
  </si>
  <si>
    <t xml:space="preserve">TC_ORDER_08</t>
  </si>
  <si>
    <t xml:space="preserve">Place order with empty cart</t>
  </si>
  <si>
    <t xml:space="preserve">Cart is empty</t>
  </si>
  <si>
    <t xml:space="preserve">1. Open 'Cart'
2. 'Place Order'
3. Fill valid data
4. 'Purchase'</t>
  </si>
  <si>
    <t xml:space="preserve">System blocks the order (button disabled or error 'Cart is empty').</t>
  </si>
  <si>
    <t xml:space="preserve">Potential defect – commonly reported: order with Amount 0 is accepted.</t>
  </si>
  <si>
    <t xml:space="preserve">TC_ORDER_09</t>
  </si>
  <si>
    <t xml:space="preserve">Credit card with letters / invalid format</t>
  </si>
  <si>
    <t xml:space="preserve">1. 'Place Order'
2. Enter Name and card 'abcd-efgh'
3. 'Purchase'</t>
  </si>
  <si>
    <t xml:space="preserve">Card: abcd-efgh</t>
  </si>
  <si>
    <t xml:space="preserve">Validation error on card number; no order created.</t>
  </si>
  <si>
    <t xml:space="preserve">Potential defect – commonly reported: any text is accepted as card.</t>
  </si>
  <si>
    <t xml:space="preserve">TC_ORDER_10</t>
  </si>
  <si>
    <t xml:space="preserve">Invalid month / past year</t>
  </si>
  <si>
    <t xml:space="preserve">1. 'Place Order'
2. Enter Month 13 and Year 1999
3. 'Purchase'</t>
  </si>
  <si>
    <t xml:space="preserve">Month: 13, Year: 1999</t>
  </si>
  <si>
    <t xml:space="preserve">Validation error for expiry date; no order created.</t>
  </si>
  <si>
    <t xml:space="preserve">Potential defect – fields not validated.</t>
  </si>
  <si>
    <t xml:space="preserve">TC_ORDER_11</t>
  </si>
  <si>
    <t xml:space="preserve">Very long values in order fields</t>
  </si>
  <si>
    <t xml:space="preserve">1. 'Place Order'
2. Enter 500-char Name and 100-digit card
3. 'Purchase'</t>
  </si>
  <si>
    <t xml:space="preserve">500 chars / 100 digits</t>
  </si>
  <si>
    <t xml:space="preserve">Input is limited or rejected gracefully; confirmation layout not broken.</t>
  </si>
  <si>
    <t xml:space="preserve">TC_ORDER_12</t>
  </si>
  <si>
    <t xml:space="preserve">Confirmation</t>
  </si>
  <si>
    <t xml:space="preserve">Confirmation date is today's date</t>
  </si>
  <si>
    <t xml:space="preserve">1. Complete a purchase
2. Read 'Date' in confirmation</t>
  </si>
  <si>
    <t xml:space="preserve">Date equals current date (DD/MM/YYYY).</t>
  </si>
  <si>
    <t xml:space="preserve">Potential defect – commonly reported: month shown off by one.</t>
  </si>
  <si>
    <t xml:space="preserve">TC_ORDER_13</t>
  </si>
  <si>
    <t xml:space="preserve">Name with special / unicode characters</t>
  </si>
  <si>
    <t xml:space="preserve">1. 'Place Order'
2. Name: 'Nguyễn Văn A &lt;b&gt;'
3. Valid card
4. 'Purchase'</t>
  </si>
  <si>
    <t xml:space="preserve">Nguyễn Văn A &lt;b&gt;</t>
  </si>
  <si>
    <t xml:space="preserve">Order succeeds; name shown correctly and HTML is escaped.</t>
  </si>
  <si>
    <t xml:space="preserve">TC_ORDER_14</t>
  </si>
  <si>
    <t xml:space="preserve">Double-click 'Purchase'</t>
  </si>
  <si>
    <t xml:space="preserve">1. 'Place Order', fill valid data
2. Double-click 'Purchase'</t>
  </si>
  <si>
    <t xml:space="preserve">Only one order/confirmation is created.</t>
  </si>
  <si>
    <t xml:space="preserve">TC_ORDER_15</t>
  </si>
  <si>
    <t xml:space="preserve">Browser Back after purchase</t>
  </si>
  <si>
    <t xml:space="preserve">Purchase just completed</t>
  </si>
  <si>
    <t xml:space="preserve">1. Click browser Back to return to cart page</t>
  </si>
  <si>
    <t xml:space="preserve">Cart remains empty; order cannot be resubmitted.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</si>
</sst>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9" customFormat="false" ht="15" hidden="false" customHeight="false" outlineLevel="0" collapsed="false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</row>
    <row r="10" customFormat="false" ht="15" hidden="false" customHeight="false" outlineLevel="0" collapsed="false">
      <c r="A10" s="5" t="s">
        <v>17</v>
      </c>
      <c r="B10" s="6" t="n">
        <f aca="false">COUNTIFS('Test Cases'!$B$2:$B$55,"Login",'Test Cases'!$E$2:$E$55,"Functional")</f>
        <v>6</v>
      </c>
      <c r="C10" s="6" t="n">
        <f aca="false">COUNTIFS('Test Cases'!$B$2:$B$55,"Login",'Test Cases'!$E$2:$E$55,"Edge")</f>
        <v>7</v>
      </c>
      <c r="D10" s="6" t="n">
        <f aca="false">COUNTIFS('Test Cases'!$B$2:$B$55,"Login",'Test Cases'!$E$2:$E$55,"Negative")</f>
        <v>9</v>
      </c>
      <c r="E10" s="6" t="n">
        <f aca="false">SUM(B10:D10)</f>
        <v>22</v>
      </c>
      <c r="F10" s="6" t="n">
        <f aca="false">COUNTIFS('Test Cases'!$B$2:$B$55,"Login",'Test Cases'!$M$2:$M$55,"Yes*")</f>
        <v>12</v>
      </c>
    </row>
    <row r="11" customFormat="false" ht="15" hidden="false" customHeight="false" outlineLevel="0" collapsed="false">
      <c r="A11" s="5" t="s">
        <v>18</v>
      </c>
      <c r="B11" s="6" t="n">
        <f aca="false">COUNTIFS('Test Cases'!$B$2:$B$55,"Cart",'Test Cases'!$E$2:$E$55,"Functional")</f>
        <v>12</v>
      </c>
      <c r="C11" s="6" t="n">
        <f aca="false">COUNTIFS('Test Cases'!$B$2:$B$55,"Cart",'Test Cases'!$E$2:$E$55,"Edge")</f>
        <v>11</v>
      </c>
      <c r="D11" s="6" t="n">
        <f aca="false">COUNTIFS('Test Cases'!$B$2:$B$55,"Cart",'Test Cases'!$E$2:$E$55,"Negative")</f>
        <v>9</v>
      </c>
      <c r="E11" s="6" t="n">
        <f aca="false">SUM(B11:D11)</f>
        <v>32</v>
      </c>
      <c r="F11" s="6" t="n">
        <f aca="false">COUNTIFS('Test Cases'!$B$2:$B$55,"Cart",'Test Cases'!$M$2:$M$55,"Yes*")</f>
        <v>16</v>
      </c>
    </row>
    <row r="12" customFormat="false" ht="15" hidden="false" customHeight="false" outlineLevel="0" collapsed="false">
      <c r="A12" s="7" t="s">
        <v>15</v>
      </c>
      <c r="B12" s="8" t="n">
        <f aca="false">SUM(B10:B11)</f>
        <v>18</v>
      </c>
      <c r="C12" s="8" t="n">
        <f aca="false">SUM(C10:C11)</f>
        <v>18</v>
      </c>
      <c r="D12" s="8" t="n">
        <f aca="false">SUM(D10:D11)</f>
        <v>18</v>
      </c>
      <c r="E12" s="8" t="n">
        <f aca="false">SUM(E10:E11)</f>
        <v>54</v>
      </c>
      <c r="F12" s="8" t="n">
        <f aca="false">SUM(F10:F11)</f>
        <v>28</v>
      </c>
    </row>
    <row r="14" customFormat="false" ht="15" hidden="false" customHeight="false" outlineLevel="0" collapsed="false">
      <c r="A14" s="2" t="s">
        <v>19</v>
      </c>
      <c r="B14" s="9" t="n">
        <f aca="false">IF(E12=0,0,F12/E12)</f>
        <v>0.518518518518519</v>
      </c>
    </row>
    <row r="16" customFormat="false" ht="15" hidden="false" customHeight="false" outlineLevel="0" collapsed="false">
      <c r="A16" s="2" t="s">
        <v>20</v>
      </c>
    </row>
    <row r="17" customFormat="false" ht="15" hidden="false" customHeight="false" outlineLevel="0" collapsed="false">
      <c r="A17" s="3" t="s">
        <v>21</v>
      </c>
      <c r="B17" s="3" t="n">
        <f aca="false">COUNTIF('Test Cases'!$L$2:$L$55,"Pass")</f>
        <v>0</v>
      </c>
    </row>
    <row r="18" customFormat="false" ht="15" hidden="false" customHeight="false" outlineLevel="0" collapsed="false">
      <c r="A18" s="3" t="s">
        <v>22</v>
      </c>
      <c r="B18" s="3" t="n">
        <f aca="false">COUNTIF('Test Cases'!$L$2:$L$55,"Fail")</f>
        <v>0</v>
      </c>
    </row>
    <row r="19" customFormat="false" ht="15" hidden="false" customHeight="false" outlineLevel="0" collapsed="false">
      <c r="A19" s="3" t="s">
        <v>23</v>
      </c>
      <c r="B19" s="3" t="n">
        <f aca="false">COUNTIF('Test Cases'!$L$2:$L$55,"Blocked")</f>
        <v>0</v>
      </c>
    </row>
    <row r="20" customFormat="false" ht="15" hidden="false" customHeight="false" outlineLevel="0" collapsed="false">
      <c r="A20" s="3" t="s">
        <v>24</v>
      </c>
      <c r="B20" s="3" t="n">
        <f aca="false">COUNTIF('Test Cases'!$L$2:$L$55,"Skipped")</f>
        <v>0</v>
      </c>
    </row>
    <row r="21" customFormat="false" ht="15" hidden="false" customHeight="false" outlineLevel="0" collapsed="false">
      <c r="A21" s="3" t="s">
        <v>25</v>
      </c>
      <c r="B21" s="3" t="n">
        <f aca="false">COUNTIF('Test Cases'!$L$2:$L$55,"Not Run")</f>
        <v>54</v>
      </c>
    </row>
    <row r="23" customFormat="false" ht="15" hidden="false" customHeight="false" outlineLevel="0" collapsed="false">
      <c r="A23" s="2" t="s">
        <v>26</v>
      </c>
    </row>
    <row r="24" customFormat="false" ht="15" hidden="false" customHeight="false" outlineLevel="0" collapsed="false">
      <c r="A24" s="10" t="s">
        <v>27</v>
      </c>
    </row>
    <row r="25" customFormat="false" ht="15" hidden="false" customHeight="false" outlineLevel="0" collapsed="false">
      <c r="A25" s="10" t="s">
        <v>28</v>
      </c>
    </row>
    <row r="26" customFormat="false" ht="15" hidden="false" customHeight="false" outlineLevel="0" collapsed="false">
      <c r="A26" s="10" t="s">
        <v>29</v>
      </c>
    </row>
    <row r="27" customFormat="false" ht="15" hidden="false" customHeight="false" outlineLevel="0" collapsed="false">
      <c r="A27" s="10" t="s">
        <v>30</v>
      </c>
    </row>
    <row r="28" customFormat="false" ht="15" hidden="false" customHeight="false" outlineLevel="0" collapsed="false">
      <c r="A28" s="1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46"/>
    <col collapsed="false" customWidth="true" hidden="false" outlineLevel="0" max="9" min="9" style="0" width="26"/>
    <col collapsed="false" customWidth="true" hidden="false" outlineLevel="0" max="10" min="10" style="0" width="46"/>
    <col collapsed="false" customWidth="true" hidden="false" outlineLevel="0" max="11" min="11" style="0" width="22"/>
    <col collapsed="false" customWidth="true" hidden="false" outlineLevel="0" max="12" min="12" style="0" width="10"/>
    <col collapsed="false" customWidth="true" hidden="false" outlineLevel="0" max="14" min="13" style="0" width="30"/>
  </cols>
  <sheetData>
    <row r="1" customFormat="false" ht="30" hidden="false" customHeight="true" outlineLevel="0" collapsed="false">
      <c r="A1" s="11" t="s">
        <v>32</v>
      </c>
      <c r="B1" s="11" t="s">
        <v>33</v>
      </c>
      <c r="C1" s="11" t="s">
        <v>34</v>
      </c>
      <c r="D1" s="11" t="s">
        <v>35</v>
      </c>
      <c r="E1" s="11" t="s">
        <v>36</v>
      </c>
      <c r="F1" s="11" t="s">
        <v>37</v>
      </c>
      <c r="G1" s="11" t="s">
        <v>38</v>
      </c>
      <c r="H1" s="11" t="s">
        <v>39</v>
      </c>
      <c r="I1" s="11" t="s">
        <v>40</v>
      </c>
      <c r="J1" s="11" t="s">
        <v>41</v>
      </c>
      <c r="K1" s="11" t="s">
        <v>42</v>
      </c>
      <c r="L1" s="11" t="s">
        <v>43</v>
      </c>
      <c r="M1" s="11" t="s">
        <v>16</v>
      </c>
      <c r="N1" s="11" t="s">
        <v>44</v>
      </c>
    </row>
    <row r="2" customFormat="false" ht="46.25" hidden="false" customHeight="false" outlineLevel="0" collapsed="false">
      <c r="A2" s="12" t="s">
        <v>45</v>
      </c>
      <c r="B2" s="13" t="s">
        <v>17</v>
      </c>
      <c r="C2" s="13" t="s">
        <v>17</v>
      </c>
      <c r="D2" s="13" t="s">
        <v>46</v>
      </c>
      <c r="E2" s="13" t="s">
        <v>12</v>
      </c>
      <c r="F2" s="13" t="s">
        <v>47</v>
      </c>
      <c r="G2" s="13" t="s">
        <v>48</v>
      </c>
      <c r="H2" s="13" t="s">
        <v>49</v>
      </c>
      <c r="I2" s="13" t="s">
        <v>50</v>
      </c>
      <c r="J2" s="13" t="s">
        <v>51</v>
      </c>
      <c r="K2" s="14"/>
      <c r="L2" s="14" t="s">
        <v>25</v>
      </c>
      <c r="M2" s="13" t="s">
        <v>52</v>
      </c>
      <c r="N2" s="13"/>
    </row>
    <row r="3" customFormat="false" ht="23.85" hidden="false" customHeight="false" outlineLevel="0" collapsed="false">
      <c r="A3" s="12" t="s">
        <v>53</v>
      </c>
      <c r="B3" s="13" t="s">
        <v>17</v>
      </c>
      <c r="C3" s="13" t="s">
        <v>54</v>
      </c>
      <c r="D3" s="13" t="s">
        <v>55</v>
      </c>
      <c r="E3" s="13" t="s">
        <v>12</v>
      </c>
      <c r="F3" s="13" t="s">
        <v>56</v>
      </c>
      <c r="G3" s="13" t="s">
        <v>48</v>
      </c>
      <c r="H3" s="13" t="s">
        <v>57</v>
      </c>
      <c r="I3" s="13" t="s">
        <v>58</v>
      </c>
      <c r="J3" s="13" t="s">
        <v>59</v>
      </c>
      <c r="K3" s="14"/>
      <c r="L3" s="14" t="s">
        <v>25</v>
      </c>
      <c r="M3" s="13" t="s">
        <v>60</v>
      </c>
      <c r="N3" s="13"/>
    </row>
    <row r="4" customFormat="false" ht="23.85" hidden="false" customHeight="false" outlineLevel="0" collapsed="false">
      <c r="A4" s="12" t="s">
        <v>61</v>
      </c>
      <c r="B4" s="13" t="s">
        <v>17</v>
      </c>
      <c r="C4" s="13" t="s">
        <v>62</v>
      </c>
      <c r="D4" s="13" t="s">
        <v>63</v>
      </c>
      <c r="E4" s="13" t="s">
        <v>12</v>
      </c>
      <c r="F4" s="13" t="s">
        <v>47</v>
      </c>
      <c r="G4" s="13" t="s">
        <v>64</v>
      </c>
      <c r="H4" s="13" t="s">
        <v>65</v>
      </c>
      <c r="I4" s="13" t="s">
        <v>66</v>
      </c>
      <c r="J4" s="13" t="s">
        <v>67</v>
      </c>
      <c r="K4" s="14"/>
      <c r="L4" s="14" t="s">
        <v>25</v>
      </c>
      <c r="M4" s="13" t="s">
        <v>60</v>
      </c>
      <c r="N4" s="13"/>
    </row>
    <row r="5" customFormat="false" ht="46.25" hidden="false" customHeight="false" outlineLevel="0" collapsed="false">
      <c r="A5" s="12" t="s">
        <v>68</v>
      </c>
      <c r="B5" s="13" t="s">
        <v>17</v>
      </c>
      <c r="C5" s="13" t="s">
        <v>17</v>
      </c>
      <c r="D5" s="13" t="s">
        <v>69</v>
      </c>
      <c r="E5" s="13" t="s">
        <v>13</v>
      </c>
      <c r="F5" s="13" t="s">
        <v>56</v>
      </c>
      <c r="G5" s="13" t="s">
        <v>48</v>
      </c>
      <c r="H5" s="13" t="s">
        <v>70</v>
      </c>
      <c r="I5" s="13" t="s">
        <v>71</v>
      </c>
      <c r="J5" s="13" t="s">
        <v>72</v>
      </c>
      <c r="K5" s="14"/>
      <c r="L5" s="14" t="s">
        <v>25</v>
      </c>
      <c r="M5" s="13" t="s">
        <v>73</v>
      </c>
      <c r="N5" s="13" t="s">
        <v>74</v>
      </c>
    </row>
    <row r="6" customFormat="false" ht="46.25" hidden="false" customHeight="false" outlineLevel="0" collapsed="false">
      <c r="A6" s="12" t="s">
        <v>75</v>
      </c>
      <c r="B6" s="13" t="s">
        <v>17</v>
      </c>
      <c r="C6" s="13" t="s">
        <v>17</v>
      </c>
      <c r="D6" s="13" t="s">
        <v>76</v>
      </c>
      <c r="E6" s="13" t="s">
        <v>14</v>
      </c>
      <c r="F6" s="13" t="s">
        <v>47</v>
      </c>
      <c r="G6" s="13" t="s">
        <v>48</v>
      </c>
      <c r="H6" s="13" t="s">
        <v>77</v>
      </c>
      <c r="I6" s="13" t="s">
        <v>78</v>
      </c>
      <c r="J6" s="13" t="s">
        <v>79</v>
      </c>
      <c r="K6" s="14"/>
      <c r="L6" s="14" t="s">
        <v>25</v>
      </c>
      <c r="M6" s="13" t="s">
        <v>60</v>
      </c>
      <c r="N6" s="13"/>
    </row>
    <row r="7" customFormat="false" ht="46.25" hidden="false" customHeight="false" outlineLevel="0" collapsed="false">
      <c r="A7" s="12" t="s">
        <v>80</v>
      </c>
      <c r="B7" s="13" t="s">
        <v>17</v>
      </c>
      <c r="C7" s="13" t="s">
        <v>17</v>
      </c>
      <c r="D7" s="13" t="s">
        <v>81</v>
      </c>
      <c r="E7" s="13" t="s">
        <v>14</v>
      </c>
      <c r="F7" s="13" t="s">
        <v>47</v>
      </c>
      <c r="G7" s="13" t="s">
        <v>66</v>
      </c>
      <c r="H7" s="13" t="s">
        <v>82</v>
      </c>
      <c r="I7" s="13" t="s">
        <v>83</v>
      </c>
      <c r="J7" s="13" t="s">
        <v>84</v>
      </c>
      <c r="K7" s="14"/>
      <c r="L7" s="14" t="s">
        <v>25</v>
      </c>
      <c r="M7" s="13" t="s">
        <v>60</v>
      </c>
      <c r="N7" s="13"/>
    </row>
    <row r="8" customFormat="false" ht="46.25" hidden="false" customHeight="false" outlineLevel="0" collapsed="false">
      <c r="A8" s="12" t="s">
        <v>85</v>
      </c>
      <c r="B8" s="13" t="s">
        <v>17</v>
      </c>
      <c r="C8" s="13" t="s">
        <v>86</v>
      </c>
      <c r="D8" s="13" t="s">
        <v>87</v>
      </c>
      <c r="E8" s="13" t="s">
        <v>14</v>
      </c>
      <c r="F8" s="13" t="s">
        <v>47</v>
      </c>
      <c r="G8" s="13" t="s">
        <v>66</v>
      </c>
      <c r="H8" s="13" t="s">
        <v>88</v>
      </c>
      <c r="I8" s="13" t="s">
        <v>89</v>
      </c>
      <c r="J8" s="13" t="s">
        <v>90</v>
      </c>
      <c r="K8" s="14"/>
      <c r="L8" s="14" t="s">
        <v>25</v>
      </c>
      <c r="M8" s="13" t="s">
        <v>60</v>
      </c>
      <c r="N8" s="13"/>
    </row>
    <row r="9" customFormat="false" ht="46.25" hidden="false" customHeight="false" outlineLevel="0" collapsed="false">
      <c r="A9" s="12" t="s">
        <v>91</v>
      </c>
      <c r="B9" s="13" t="s">
        <v>17</v>
      </c>
      <c r="C9" s="13" t="s">
        <v>86</v>
      </c>
      <c r="D9" s="13" t="s">
        <v>92</v>
      </c>
      <c r="E9" s="13" t="s">
        <v>14</v>
      </c>
      <c r="F9" s="13" t="s">
        <v>47</v>
      </c>
      <c r="G9" s="13" t="s">
        <v>66</v>
      </c>
      <c r="H9" s="13" t="s">
        <v>93</v>
      </c>
      <c r="I9" s="13" t="s">
        <v>94</v>
      </c>
      <c r="J9" s="13" t="s">
        <v>90</v>
      </c>
      <c r="K9" s="14"/>
      <c r="L9" s="14" t="s">
        <v>25</v>
      </c>
      <c r="M9" s="13" t="s">
        <v>60</v>
      </c>
      <c r="N9" s="13"/>
    </row>
    <row r="10" customFormat="false" ht="46.25" hidden="false" customHeight="false" outlineLevel="0" collapsed="false">
      <c r="A10" s="12" t="s">
        <v>95</v>
      </c>
      <c r="B10" s="13" t="s">
        <v>17</v>
      </c>
      <c r="C10" s="13" t="s">
        <v>86</v>
      </c>
      <c r="D10" s="13" t="s">
        <v>96</v>
      </c>
      <c r="E10" s="13" t="s">
        <v>14</v>
      </c>
      <c r="F10" s="13" t="s">
        <v>47</v>
      </c>
      <c r="G10" s="13" t="s">
        <v>66</v>
      </c>
      <c r="H10" s="13" t="s">
        <v>97</v>
      </c>
      <c r="I10" s="13" t="s">
        <v>98</v>
      </c>
      <c r="J10" s="13" t="s">
        <v>90</v>
      </c>
      <c r="K10" s="14"/>
      <c r="L10" s="14" t="s">
        <v>25</v>
      </c>
      <c r="M10" s="13" t="s">
        <v>60</v>
      </c>
      <c r="N10" s="13"/>
    </row>
    <row r="11" customFormat="false" ht="46.25" hidden="false" customHeight="false" outlineLevel="0" collapsed="false">
      <c r="A11" s="12" t="s">
        <v>99</v>
      </c>
      <c r="B11" s="13" t="s">
        <v>17</v>
      </c>
      <c r="C11" s="13" t="s">
        <v>86</v>
      </c>
      <c r="D11" s="13" t="s">
        <v>100</v>
      </c>
      <c r="E11" s="13" t="s">
        <v>13</v>
      </c>
      <c r="F11" s="13" t="s">
        <v>56</v>
      </c>
      <c r="G11" s="13" t="s">
        <v>48</v>
      </c>
      <c r="H11" s="13" t="s">
        <v>101</v>
      </c>
      <c r="I11" s="13" t="s">
        <v>102</v>
      </c>
      <c r="J11" s="13" t="s">
        <v>103</v>
      </c>
      <c r="K11" s="14"/>
      <c r="L11" s="14" t="s">
        <v>25</v>
      </c>
      <c r="M11" s="13" t="s">
        <v>73</v>
      </c>
      <c r="N11" s="13"/>
    </row>
    <row r="12" customFormat="false" ht="46.25" hidden="false" customHeight="false" outlineLevel="0" collapsed="false">
      <c r="A12" s="12" t="s">
        <v>104</v>
      </c>
      <c r="B12" s="13" t="s">
        <v>17</v>
      </c>
      <c r="C12" s="13" t="s">
        <v>86</v>
      </c>
      <c r="D12" s="13" t="s">
        <v>105</v>
      </c>
      <c r="E12" s="13" t="s">
        <v>14</v>
      </c>
      <c r="F12" s="13" t="s">
        <v>56</v>
      </c>
      <c r="G12" s="13" t="s">
        <v>66</v>
      </c>
      <c r="H12" s="13" t="s">
        <v>106</v>
      </c>
      <c r="I12" s="13" t="s">
        <v>107</v>
      </c>
      <c r="J12" s="13" t="s">
        <v>108</v>
      </c>
      <c r="K12" s="14"/>
      <c r="L12" s="14" t="s">
        <v>25</v>
      </c>
      <c r="M12" s="13" t="s">
        <v>73</v>
      </c>
      <c r="N12" s="13"/>
    </row>
    <row r="13" customFormat="false" ht="46.25" hidden="false" customHeight="false" outlineLevel="0" collapsed="false">
      <c r="A13" s="12" t="s">
        <v>109</v>
      </c>
      <c r="B13" s="13" t="s">
        <v>17</v>
      </c>
      <c r="C13" s="13" t="s">
        <v>17</v>
      </c>
      <c r="D13" s="13" t="s">
        <v>110</v>
      </c>
      <c r="E13" s="13" t="s">
        <v>14</v>
      </c>
      <c r="F13" s="13" t="s">
        <v>47</v>
      </c>
      <c r="G13" s="13" t="s">
        <v>48</v>
      </c>
      <c r="H13" s="13" t="s">
        <v>111</v>
      </c>
      <c r="I13" s="13" t="s">
        <v>112</v>
      </c>
      <c r="J13" s="13" t="s">
        <v>113</v>
      </c>
      <c r="K13" s="14"/>
      <c r="L13" s="14" t="s">
        <v>25</v>
      </c>
      <c r="M13" s="13" t="s">
        <v>73</v>
      </c>
      <c r="N13" s="13"/>
    </row>
    <row r="14" customFormat="false" ht="35.05" hidden="false" customHeight="false" outlineLevel="0" collapsed="false">
      <c r="A14" s="12" t="s">
        <v>114</v>
      </c>
      <c r="B14" s="13" t="s">
        <v>17</v>
      </c>
      <c r="C14" s="13" t="s">
        <v>115</v>
      </c>
      <c r="D14" s="13" t="s">
        <v>116</v>
      </c>
      <c r="E14" s="13" t="s">
        <v>12</v>
      </c>
      <c r="F14" s="13" t="s">
        <v>56</v>
      </c>
      <c r="G14" s="13" t="s">
        <v>66</v>
      </c>
      <c r="H14" s="13" t="s">
        <v>117</v>
      </c>
      <c r="I14" s="13" t="s">
        <v>118</v>
      </c>
      <c r="J14" s="13" t="s">
        <v>119</v>
      </c>
      <c r="K14" s="14"/>
      <c r="L14" s="14" t="s">
        <v>25</v>
      </c>
      <c r="M14" s="13" t="s">
        <v>60</v>
      </c>
      <c r="N14" s="13"/>
    </row>
    <row r="15" customFormat="false" ht="46.25" hidden="false" customHeight="false" outlineLevel="0" collapsed="false">
      <c r="A15" s="12" t="s">
        <v>120</v>
      </c>
      <c r="B15" s="13" t="s">
        <v>17</v>
      </c>
      <c r="C15" s="13" t="s">
        <v>86</v>
      </c>
      <c r="D15" s="13" t="s">
        <v>121</v>
      </c>
      <c r="E15" s="13" t="s">
        <v>13</v>
      </c>
      <c r="F15" s="13" t="s">
        <v>122</v>
      </c>
      <c r="G15" s="13" t="s">
        <v>66</v>
      </c>
      <c r="H15" s="13" t="s">
        <v>123</v>
      </c>
      <c r="I15" s="13" t="s">
        <v>124</v>
      </c>
      <c r="J15" s="13" t="s">
        <v>125</v>
      </c>
      <c r="K15" s="14"/>
      <c r="L15" s="14" t="s">
        <v>25</v>
      </c>
      <c r="M15" s="13" t="s">
        <v>73</v>
      </c>
      <c r="N15" s="13"/>
    </row>
    <row r="16" customFormat="false" ht="46.25" hidden="false" customHeight="false" outlineLevel="0" collapsed="false">
      <c r="A16" s="12" t="s">
        <v>126</v>
      </c>
      <c r="B16" s="13" t="s">
        <v>17</v>
      </c>
      <c r="C16" s="13" t="s">
        <v>115</v>
      </c>
      <c r="D16" s="13" t="s">
        <v>127</v>
      </c>
      <c r="E16" s="13" t="s">
        <v>14</v>
      </c>
      <c r="F16" s="13" t="s">
        <v>47</v>
      </c>
      <c r="G16" s="13" t="s">
        <v>66</v>
      </c>
      <c r="H16" s="13" t="s">
        <v>128</v>
      </c>
      <c r="I16" s="13" t="s">
        <v>129</v>
      </c>
      <c r="J16" s="13" t="s">
        <v>130</v>
      </c>
      <c r="K16" s="14"/>
      <c r="L16" s="14" t="s">
        <v>25</v>
      </c>
      <c r="M16" s="13" t="s">
        <v>60</v>
      </c>
      <c r="N16" s="13"/>
    </row>
    <row r="17" customFormat="false" ht="46.25" hidden="false" customHeight="false" outlineLevel="0" collapsed="false">
      <c r="A17" s="12" t="s">
        <v>131</v>
      </c>
      <c r="B17" s="13" t="s">
        <v>17</v>
      </c>
      <c r="C17" s="13" t="s">
        <v>17</v>
      </c>
      <c r="D17" s="13" t="s">
        <v>132</v>
      </c>
      <c r="E17" s="13" t="s">
        <v>12</v>
      </c>
      <c r="F17" s="13" t="s">
        <v>122</v>
      </c>
      <c r="G17" s="13" t="s">
        <v>48</v>
      </c>
      <c r="H17" s="13" t="s">
        <v>133</v>
      </c>
      <c r="I17" s="13" t="s">
        <v>58</v>
      </c>
      <c r="J17" s="13" t="s">
        <v>134</v>
      </c>
      <c r="K17" s="14"/>
      <c r="L17" s="14" t="s">
        <v>25</v>
      </c>
      <c r="M17" s="13" t="s">
        <v>60</v>
      </c>
      <c r="N17" s="13"/>
    </row>
    <row r="18" customFormat="false" ht="46.25" hidden="false" customHeight="false" outlineLevel="0" collapsed="false">
      <c r="A18" s="12" t="s">
        <v>135</v>
      </c>
      <c r="B18" s="13" t="s">
        <v>17</v>
      </c>
      <c r="C18" s="13" t="s">
        <v>115</v>
      </c>
      <c r="D18" s="13" t="s">
        <v>136</v>
      </c>
      <c r="E18" s="13" t="s">
        <v>14</v>
      </c>
      <c r="F18" s="13" t="s">
        <v>47</v>
      </c>
      <c r="G18" s="13" t="s">
        <v>66</v>
      </c>
      <c r="H18" s="13" t="s">
        <v>137</v>
      </c>
      <c r="I18" s="13" t="s">
        <v>138</v>
      </c>
      <c r="J18" s="13" t="s">
        <v>139</v>
      </c>
      <c r="K18" s="14"/>
      <c r="L18" s="14" t="s">
        <v>25</v>
      </c>
      <c r="M18" s="13" t="s">
        <v>73</v>
      </c>
      <c r="N18" s="13"/>
    </row>
    <row r="19" customFormat="false" ht="46.25" hidden="false" customHeight="false" outlineLevel="0" collapsed="false">
      <c r="A19" s="12" t="s">
        <v>140</v>
      </c>
      <c r="B19" s="13" t="s">
        <v>17</v>
      </c>
      <c r="C19" s="13" t="s">
        <v>141</v>
      </c>
      <c r="D19" s="13" t="s">
        <v>142</v>
      </c>
      <c r="E19" s="13" t="s">
        <v>13</v>
      </c>
      <c r="F19" s="13" t="s">
        <v>122</v>
      </c>
      <c r="G19" s="13" t="s">
        <v>48</v>
      </c>
      <c r="H19" s="13" t="s">
        <v>143</v>
      </c>
      <c r="I19" s="13" t="s">
        <v>58</v>
      </c>
      <c r="J19" s="13" t="s">
        <v>144</v>
      </c>
      <c r="K19" s="14"/>
      <c r="L19" s="14" t="s">
        <v>25</v>
      </c>
      <c r="M19" s="13" t="s">
        <v>73</v>
      </c>
      <c r="N19" s="13" t="s">
        <v>145</v>
      </c>
    </row>
    <row r="20" customFormat="false" ht="46.25" hidden="false" customHeight="false" outlineLevel="0" collapsed="false">
      <c r="A20" s="12" t="s">
        <v>146</v>
      </c>
      <c r="B20" s="13" t="s">
        <v>17</v>
      </c>
      <c r="C20" s="13" t="s">
        <v>17</v>
      </c>
      <c r="D20" s="13" t="s">
        <v>147</v>
      </c>
      <c r="E20" s="13" t="s">
        <v>13</v>
      </c>
      <c r="F20" s="13" t="s">
        <v>122</v>
      </c>
      <c r="G20" s="13" t="s">
        <v>48</v>
      </c>
      <c r="H20" s="13" t="s">
        <v>148</v>
      </c>
      <c r="I20" s="13" t="s">
        <v>58</v>
      </c>
      <c r="J20" s="13" t="s">
        <v>149</v>
      </c>
      <c r="K20" s="14"/>
      <c r="L20" s="14" t="s">
        <v>25</v>
      </c>
      <c r="M20" s="13" t="s">
        <v>73</v>
      </c>
      <c r="N20" s="13"/>
    </row>
    <row r="21" customFormat="false" ht="15" hidden="false" customHeight="false" outlineLevel="0" collapsed="false">
      <c r="A21" s="12" t="s">
        <v>150</v>
      </c>
      <c r="B21" s="13" t="s">
        <v>17</v>
      </c>
      <c r="C21" s="13" t="s">
        <v>54</v>
      </c>
      <c r="D21" s="13" t="s">
        <v>151</v>
      </c>
      <c r="E21" s="13" t="s">
        <v>13</v>
      </c>
      <c r="F21" s="13" t="s">
        <v>122</v>
      </c>
      <c r="G21" s="13" t="s">
        <v>152</v>
      </c>
      <c r="H21" s="13" t="s">
        <v>153</v>
      </c>
      <c r="I21" s="13" t="s">
        <v>66</v>
      </c>
      <c r="J21" s="13" t="s">
        <v>154</v>
      </c>
      <c r="K21" s="14"/>
      <c r="L21" s="14" t="s">
        <v>25</v>
      </c>
      <c r="M21" s="13" t="s">
        <v>73</v>
      </c>
      <c r="N21" s="13"/>
    </row>
    <row r="22" customFormat="false" ht="46.25" hidden="false" customHeight="false" outlineLevel="0" collapsed="false">
      <c r="A22" s="12" t="s">
        <v>155</v>
      </c>
      <c r="B22" s="13" t="s">
        <v>17</v>
      </c>
      <c r="C22" s="13" t="s">
        <v>17</v>
      </c>
      <c r="D22" s="13" t="s">
        <v>156</v>
      </c>
      <c r="E22" s="13" t="s">
        <v>13</v>
      </c>
      <c r="F22" s="13" t="s">
        <v>122</v>
      </c>
      <c r="G22" s="13" t="s">
        <v>157</v>
      </c>
      <c r="H22" s="13" t="s">
        <v>158</v>
      </c>
      <c r="I22" s="13" t="s">
        <v>159</v>
      </c>
      <c r="J22" s="13" t="s">
        <v>160</v>
      </c>
      <c r="K22" s="14"/>
      <c r="L22" s="14" t="s">
        <v>25</v>
      </c>
      <c r="M22" s="13" t="s">
        <v>73</v>
      </c>
      <c r="N22" s="13"/>
    </row>
    <row r="23" customFormat="false" ht="35.05" hidden="false" customHeight="false" outlineLevel="0" collapsed="false">
      <c r="A23" s="12" t="s">
        <v>161</v>
      </c>
      <c r="B23" s="13" t="s">
        <v>17</v>
      </c>
      <c r="C23" s="13" t="s">
        <v>162</v>
      </c>
      <c r="D23" s="13" t="s">
        <v>163</v>
      </c>
      <c r="E23" s="13" t="s">
        <v>12</v>
      </c>
      <c r="F23" s="13" t="s">
        <v>56</v>
      </c>
      <c r="G23" s="13" t="s">
        <v>48</v>
      </c>
      <c r="H23" s="13" t="s">
        <v>164</v>
      </c>
      <c r="I23" s="13" t="s">
        <v>58</v>
      </c>
      <c r="J23" s="13" t="s">
        <v>165</v>
      </c>
      <c r="K23" s="14"/>
      <c r="L23" s="14" t="s">
        <v>25</v>
      </c>
      <c r="M23" s="13" t="s">
        <v>166</v>
      </c>
      <c r="N23" s="13"/>
    </row>
    <row r="24" customFormat="false" ht="57.45" hidden="false" customHeight="false" outlineLevel="0" collapsed="false">
      <c r="A24" s="12" t="s">
        <v>167</v>
      </c>
      <c r="B24" s="13" t="s">
        <v>168</v>
      </c>
      <c r="C24" s="13" t="s">
        <v>169</v>
      </c>
      <c r="D24" s="13" t="s">
        <v>170</v>
      </c>
      <c r="E24" s="13" t="s">
        <v>12</v>
      </c>
      <c r="F24" s="13" t="s">
        <v>47</v>
      </c>
      <c r="G24" s="13" t="s">
        <v>171</v>
      </c>
      <c r="H24" s="13" t="s">
        <v>172</v>
      </c>
      <c r="I24" s="13" t="s">
        <v>173</v>
      </c>
      <c r="J24" s="13" t="s">
        <v>174</v>
      </c>
      <c r="K24" s="14"/>
      <c r="L24" s="14" t="s">
        <v>25</v>
      </c>
      <c r="M24" s="13" t="s">
        <v>175</v>
      </c>
      <c r="N24" s="13"/>
    </row>
    <row r="25" customFormat="false" ht="35.05" hidden="false" customHeight="false" outlineLevel="0" collapsed="false">
      <c r="A25" s="12" t="s">
        <v>176</v>
      </c>
      <c r="B25" s="13" t="s">
        <v>168</v>
      </c>
      <c r="C25" s="13" t="s">
        <v>169</v>
      </c>
      <c r="D25" s="13" t="s">
        <v>177</v>
      </c>
      <c r="E25" s="13" t="s">
        <v>12</v>
      </c>
      <c r="F25" s="13" t="s">
        <v>47</v>
      </c>
      <c r="G25" s="13" t="s">
        <v>178</v>
      </c>
      <c r="H25" s="13" t="s">
        <v>179</v>
      </c>
      <c r="I25" s="13" t="s">
        <v>180</v>
      </c>
      <c r="J25" s="13" t="s">
        <v>181</v>
      </c>
      <c r="K25" s="14"/>
      <c r="L25" s="14" t="s">
        <v>25</v>
      </c>
      <c r="M25" s="13" t="s">
        <v>182</v>
      </c>
      <c r="N25" s="13"/>
    </row>
    <row r="26" customFormat="false" ht="23.85" hidden="false" customHeight="false" outlineLevel="0" collapsed="false">
      <c r="A26" s="12" t="s">
        <v>183</v>
      </c>
      <c r="B26" s="13" t="s">
        <v>168</v>
      </c>
      <c r="C26" s="13" t="s">
        <v>15</v>
      </c>
      <c r="D26" s="13" t="s">
        <v>184</v>
      </c>
      <c r="E26" s="13" t="s">
        <v>12</v>
      </c>
      <c r="F26" s="13" t="s">
        <v>47</v>
      </c>
      <c r="G26" s="13" t="s">
        <v>178</v>
      </c>
      <c r="H26" s="13" t="s">
        <v>185</v>
      </c>
      <c r="I26" s="13" t="s">
        <v>186</v>
      </c>
      <c r="J26" s="13" t="s">
        <v>187</v>
      </c>
      <c r="K26" s="14"/>
      <c r="L26" s="14" t="s">
        <v>25</v>
      </c>
      <c r="M26" s="13" t="s">
        <v>182</v>
      </c>
      <c r="N26" s="13"/>
    </row>
    <row r="27" customFormat="false" ht="35.05" hidden="false" customHeight="false" outlineLevel="0" collapsed="false">
      <c r="A27" s="12" t="s">
        <v>188</v>
      </c>
      <c r="B27" s="13" t="s">
        <v>168</v>
      </c>
      <c r="C27" s="13" t="s">
        <v>169</v>
      </c>
      <c r="D27" s="13" t="s">
        <v>189</v>
      </c>
      <c r="E27" s="13" t="s">
        <v>13</v>
      </c>
      <c r="F27" s="13" t="s">
        <v>56</v>
      </c>
      <c r="G27" s="13" t="s">
        <v>178</v>
      </c>
      <c r="H27" s="13" t="s">
        <v>190</v>
      </c>
      <c r="I27" s="13" t="s">
        <v>191</v>
      </c>
      <c r="J27" s="13" t="s">
        <v>192</v>
      </c>
      <c r="K27" s="14"/>
      <c r="L27" s="14" t="s">
        <v>25</v>
      </c>
      <c r="M27" s="13" t="s">
        <v>182</v>
      </c>
      <c r="N27" s="13" t="s">
        <v>193</v>
      </c>
    </row>
    <row r="28" customFormat="false" ht="23.85" hidden="false" customHeight="false" outlineLevel="0" collapsed="false">
      <c r="A28" s="12" t="s">
        <v>194</v>
      </c>
      <c r="B28" s="13" t="s">
        <v>168</v>
      </c>
      <c r="C28" s="13" t="s">
        <v>195</v>
      </c>
      <c r="D28" s="13" t="s">
        <v>196</v>
      </c>
      <c r="E28" s="13" t="s">
        <v>12</v>
      </c>
      <c r="F28" s="13" t="s">
        <v>47</v>
      </c>
      <c r="G28" s="13" t="s">
        <v>197</v>
      </c>
      <c r="H28" s="13" t="s">
        <v>198</v>
      </c>
      <c r="I28" s="13" t="s">
        <v>66</v>
      </c>
      <c r="J28" s="13" t="s">
        <v>199</v>
      </c>
      <c r="K28" s="14"/>
      <c r="L28" s="14" t="s">
        <v>25</v>
      </c>
      <c r="M28" s="13" t="s">
        <v>182</v>
      </c>
      <c r="N28" s="13"/>
    </row>
    <row r="29" customFormat="false" ht="23.85" hidden="false" customHeight="false" outlineLevel="0" collapsed="false">
      <c r="A29" s="12" t="s">
        <v>200</v>
      </c>
      <c r="B29" s="13" t="s">
        <v>168</v>
      </c>
      <c r="C29" s="13" t="s">
        <v>195</v>
      </c>
      <c r="D29" s="13" t="s">
        <v>201</v>
      </c>
      <c r="E29" s="13" t="s">
        <v>13</v>
      </c>
      <c r="F29" s="13" t="s">
        <v>56</v>
      </c>
      <c r="G29" s="13" t="s">
        <v>202</v>
      </c>
      <c r="H29" s="13" t="s">
        <v>203</v>
      </c>
      <c r="I29" s="13" t="s">
        <v>66</v>
      </c>
      <c r="J29" s="13" t="s">
        <v>204</v>
      </c>
      <c r="K29" s="14"/>
      <c r="L29" s="14" t="s">
        <v>25</v>
      </c>
      <c r="M29" s="13" t="s">
        <v>182</v>
      </c>
      <c r="N29" s="13"/>
    </row>
    <row r="30" customFormat="false" ht="46.25" hidden="false" customHeight="false" outlineLevel="0" collapsed="false">
      <c r="A30" s="12" t="s">
        <v>205</v>
      </c>
      <c r="B30" s="13" t="s">
        <v>168</v>
      </c>
      <c r="C30" s="13" t="s">
        <v>206</v>
      </c>
      <c r="D30" s="13" t="s">
        <v>207</v>
      </c>
      <c r="E30" s="13" t="s">
        <v>12</v>
      </c>
      <c r="F30" s="13" t="s">
        <v>47</v>
      </c>
      <c r="G30" s="13" t="s">
        <v>208</v>
      </c>
      <c r="H30" s="13" t="s">
        <v>209</v>
      </c>
      <c r="I30" s="13" t="s">
        <v>210</v>
      </c>
      <c r="J30" s="13" t="s">
        <v>211</v>
      </c>
      <c r="K30" s="14"/>
      <c r="L30" s="14" t="s">
        <v>25</v>
      </c>
      <c r="M30" s="13" t="s">
        <v>182</v>
      </c>
      <c r="N30" s="13"/>
    </row>
    <row r="31" customFormat="false" ht="35.05" hidden="false" customHeight="false" outlineLevel="0" collapsed="false">
      <c r="A31" s="12" t="s">
        <v>212</v>
      </c>
      <c r="B31" s="13" t="s">
        <v>168</v>
      </c>
      <c r="C31" s="13" t="s">
        <v>213</v>
      </c>
      <c r="D31" s="13" t="s">
        <v>214</v>
      </c>
      <c r="E31" s="13" t="s">
        <v>12</v>
      </c>
      <c r="F31" s="13" t="s">
        <v>56</v>
      </c>
      <c r="G31" s="13" t="s">
        <v>215</v>
      </c>
      <c r="H31" s="13" t="s">
        <v>216</v>
      </c>
      <c r="I31" s="13" t="s">
        <v>180</v>
      </c>
      <c r="J31" s="13" t="s">
        <v>217</v>
      </c>
      <c r="K31" s="14"/>
      <c r="L31" s="14" t="s">
        <v>25</v>
      </c>
      <c r="M31" s="13" t="s">
        <v>182</v>
      </c>
      <c r="N31" s="13"/>
    </row>
    <row r="32" customFormat="false" ht="23.85" hidden="false" customHeight="false" outlineLevel="0" collapsed="false">
      <c r="A32" s="12" t="s">
        <v>218</v>
      </c>
      <c r="B32" s="13" t="s">
        <v>168</v>
      </c>
      <c r="C32" s="13" t="s">
        <v>206</v>
      </c>
      <c r="D32" s="13" t="s">
        <v>219</v>
      </c>
      <c r="E32" s="13" t="s">
        <v>12</v>
      </c>
      <c r="F32" s="13" t="s">
        <v>56</v>
      </c>
      <c r="G32" s="13" t="s">
        <v>220</v>
      </c>
      <c r="H32" s="13" t="s">
        <v>221</v>
      </c>
      <c r="I32" s="13" t="s">
        <v>66</v>
      </c>
      <c r="J32" s="13" t="s">
        <v>222</v>
      </c>
      <c r="K32" s="14"/>
      <c r="L32" s="14" t="s">
        <v>25</v>
      </c>
      <c r="M32" s="13" t="s">
        <v>73</v>
      </c>
      <c r="N32" s="13"/>
    </row>
    <row r="33" customFormat="false" ht="35.05" hidden="false" customHeight="false" outlineLevel="0" collapsed="false">
      <c r="A33" s="12" t="s">
        <v>223</v>
      </c>
      <c r="B33" s="13" t="s">
        <v>168</v>
      </c>
      <c r="C33" s="13" t="s">
        <v>224</v>
      </c>
      <c r="D33" s="13" t="s">
        <v>225</v>
      </c>
      <c r="E33" s="13" t="s">
        <v>14</v>
      </c>
      <c r="F33" s="13" t="s">
        <v>47</v>
      </c>
      <c r="G33" s="13" t="s">
        <v>226</v>
      </c>
      <c r="H33" s="13" t="s">
        <v>227</v>
      </c>
      <c r="I33" s="13" t="s">
        <v>66</v>
      </c>
      <c r="J33" s="13" t="s">
        <v>228</v>
      </c>
      <c r="K33" s="14"/>
      <c r="L33" s="14" t="s">
        <v>25</v>
      </c>
      <c r="M33" s="13" t="s">
        <v>229</v>
      </c>
      <c r="N33" s="13"/>
    </row>
    <row r="34" customFormat="false" ht="35.05" hidden="false" customHeight="false" outlineLevel="0" collapsed="false">
      <c r="A34" s="12" t="s">
        <v>230</v>
      </c>
      <c r="B34" s="13" t="s">
        <v>168</v>
      </c>
      <c r="C34" s="13" t="s">
        <v>224</v>
      </c>
      <c r="D34" s="13" t="s">
        <v>231</v>
      </c>
      <c r="E34" s="13" t="s">
        <v>13</v>
      </c>
      <c r="F34" s="13" t="s">
        <v>56</v>
      </c>
      <c r="G34" s="13" t="s">
        <v>232</v>
      </c>
      <c r="H34" s="13" t="s">
        <v>233</v>
      </c>
      <c r="I34" s="13" t="s">
        <v>66</v>
      </c>
      <c r="J34" s="13" t="s">
        <v>234</v>
      </c>
      <c r="K34" s="14"/>
      <c r="L34" s="14" t="s">
        <v>25</v>
      </c>
      <c r="M34" s="13" t="s">
        <v>73</v>
      </c>
      <c r="N34" s="13" t="s">
        <v>235</v>
      </c>
    </row>
    <row r="35" customFormat="false" ht="35.05" hidden="false" customHeight="false" outlineLevel="0" collapsed="false">
      <c r="A35" s="12" t="s">
        <v>236</v>
      </c>
      <c r="B35" s="13" t="s">
        <v>168</v>
      </c>
      <c r="C35" s="13" t="s">
        <v>169</v>
      </c>
      <c r="D35" s="13" t="s">
        <v>237</v>
      </c>
      <c r="E35" s="13" t="s">
        <v>13</v>
      </c>
      <c r="F35" s="13" t="s">
        <v>56</v>
      </c>
      <c r="G35" s="13" t="s">
        <v>238</v>
      </c>
      <c r="H35" s="13" t="s">
        <v>239</v>
      </c>
      <c r="I35" s="13" t="s">
        <v>66</v>
      </c>
      <c r="J35" s="13" t="s">
        <v>240</v>
      </c>
      <c r="K35" s="14"/>
      <c r="L35" s="14" t="s">
        <v>25</v>
      </c>
      <c r="M35" s="13" t="s">
        <v>73</v>
      </c>
      <c r="N35" s="13"/>
    </row>
    <row r="36" customFormat="false" ht="35.05" hidden="false" customHeight="false" outlineLevel="0" collapsed="false">
      <c r="A36" s="12" t="s">
        <v>241</v>
      </c>
      <c r="B36" s="13" t="s">
        <v>168</v>
      </c>
      <c r="C36" s="13" t="s">
        <v>169</v>
      </c>
      <c r="D36" s="13" t="s">
        <v>242</v>
      </c>
      <c r="E36" s="13" t="s">
        <v>14</v>
      </c>
      <c r="F36" s="13" t="s">
        <v>56</v>
      </c>
      <c r="G36" s="13" t="s">
        <v>66</v>
      </c>
      <c r="H36" s="13" t="s">
        <v>243</v>
      </c>
      <c r="I36" s="13" t="s">
        <v>66</v>
      </c>
      <c r="J36" s="13" t="s">
        <v>244</v>
      </c>
      <c r="K36" s="14"/>
      <c r="L36" s="14" t="s">
        <v>25</v>
      </c>
      <c r="M36" s="13" t="s">
        <v>73</v>
      </c>
      <c r="N36" s="13"/>
    </row>
    <row r="37" customFormat="false" ht="23.85" hidden="false" customHeight="false" outlineLevel="0" collapsed="false">
      <c r="A37" s="12" t="s">
        <v>245</v>
      </c>
      <c r="B37" s="13" t="s">
        <v>168</v>
      </c>
      <c r="C37" s="13" t="s">
        <v>246</v>
      </c>
      <c r="D37" s="13" t="s">
        <v>247</v>
      </c>
      <c r="E37" s="13" t="s">
        <v>12</v>
      </c>
      <c r="F37" s="13" t="s">
        <v>122</v>
      </c>
      <c r="G37" s="13" t="s">
        <v>248</v>
      </c>
      <c r="H37" s="13" t="s">
        <v>249</v>
      </c>
      <c r="I37" s="13" t="s">
        <v>66</v>
      </c>
      <c r="J37" s="13" t="s">
        <v>250</v>
      </c>
      <c r="K37" s="14"/>
      <c r="L37" s="14" t="s">
        <v>25</v>
      </c>
      <c r="M37" s="13" t="s">
        <v>73</v>
      </c>
      <c r="N37" s="13"/>
    </row>
    <row r="38" customFormat="false" ht="23.85" hidden="false" customHeight="false" outlineLevel="0" collapsed="false">
      <c r="A38" s="12" t="s">
        <v>251</v>
      </c>
      <c r="B38" s="13" t="s">
        <v>168</v>
      </c>
      <c r="C38" s="13" t="s">
        <v>15</v>
      </c>
      <c r="D38" s="13" t="s">
        <v>252</v>
      </c>
      <c r="E38" s="13" t="s">
        <v>13</v>
      </c>
      <c r="F38" s="13" t="s">
        <v>122</v>
      </c>
      <c r="G38" s="13" t="s">
        <v>208</v>
      </c>
      <c r="H38" s="13" t="s">
        <v>253</v>
      </c>
      <c r="I38" s="13" t="s">
        <v>254</v>
      </c>
      <c r="J38" s="13" t="s">
        <v>255</v>
      </c>
      <c r="K38" s="14"/>
      <c r="L38" s="14" t="s">
        <v>25</v>
      </c>
      <c r="M38" s="13" t="s">
        <v>73</v>
      </c>
      <c r="N38" s="13"/>
    </row>
    <row r="39" customFormat="false" ht="23.85" hidden="false" customHeight="false" outlineLevel="0" collapsed="false">
      <c r="A39" s="12" t="s">
        <v>256</v>
      </c>
      <c r="B39" s="13" t="s">
        <v>168</v>
      </c>
      <c r="C39" s="13" t="s">
        <v>257</v>
      </c>
      <c r="D39" s="13" t="s">
        <v>258</v>
      </c>
      <c r="E39" s="13" t="s">
        <v>14</v>
      </c>
      <c r="F39" s="13" t="s">
        <v>122</v>
      </c>
      <c r="G39" s="13" t="s">
        <v>66</v>
      </c>
      <c r="H39" s="13" t="s">
        <v>259</v>
      </c>
      <c r="I39" s="13" t="s">
        <v>260</v>
      </c>
      <c r="J39" s="13" t="s">
        <v>261</v>
      </c>
      <c r="K39" s="14"/>
      <c r="L39" s="14" t="s">
        <v>25</v>
      </c>
      <c r="M39" s="13" t="s">
        <v>73</v>
      </c>
      <c r="N39" s="13"/>
    </row>
    <row r="40" customFormat="false" ht="23.85" hidden="false" customHeight="false" outlineLevel="0" collapsed="false">
      <c r="A40" s="12" t="s">
        <v>262</v>
      </c>
      <c r="B40" s="13" t="s">
        <v>168</v>
      </c>
      <c r="C40" s="13" t="s">
        <v>195</v>
      </c>
      <c r="D40" s="13" t="s">
        <v>263</v>
      </c>
      <c r="E40" s="13" t="s">
        <v>13</v>
      </c>
      <c r="F40" s="13" t="s">
        <v>122</v>
      </c>
      <c r="G40" s="13" t="s">
        <v>264</v>
      </c>
      <c r="H40" s="13" t="s">
        <v>265</v>
      </c>
      <c r="I40" s="13" t="s">
        <v>66</v>
      </c>
      <c r="J40" s="13" t="s">
        <v>266</v>
      </c>
      <c r="K40" s="14"/>
      <c r="L40" s="14" t="s">
        <v>25</v>
      </c>
      <c r="M40" s="13" t="s">
        <v>73</v>
      </c>
      <c r="N40" s="13"/>
    </row>
    <row r="41" customFormat="false" ht="79.85" hidden="false" customHeight="false" outlineLevel="0" collapsed="false">
      <c r="A41" s="12" t="s">
        <v>267</v>
      </c>
      <c r="B41" s="13" t="s">
        <v>168</v>
      </c>
      <c r="C41" s="13" t="s">
        <v>268</v>
      </c>
      <c r="D41" s="13" t="s">
        <v>269</v>
      </c>
      <c r="E41" s="13" t="s">
        <v>12</v>
      </c>
      <c r="F41" s="13" t="s">
        <v>47</v>
      </c>
      <c r="G41" s="13" t="s">
        <v>48</v>
      </c>
      <c r="H41" s="13" t="s">
        <v>270</v>
      </c>
      <c r="I41" s="13" t="s">
        <v>271</v>
      </c>
      <c r="J41" s="13" t="s">
        <v>272</v>
      </c>
      <c r="K41" s="14"/>
      <c r="L41" s="14" t="s">
        <v>25</v>
      </c>
      <c r="M41" s="13" t="s">
        <v>273</v>
      </c>
      <c r="N41" s="13" t="s">
        <v>274</v>
      </c>
    </row>
    <row r="42" customFormat="false" ht="46.25" hidden="false" customHeight="false" outlineLevel="0" collapsed="false">
      <c r="A42" s="12" t="s">
        <v>275</v>
      </c>
      <c r="B42" s="13" t="s">
        <v>168</v>
      </c>
      <c r="C42" s="13" t="s">
        <v>268</v>
      </c>
      <c r="D42" s="13" t="s">
        <v>276</v>
      </c>
      <c r="E42" s="13" t="s">
        <v>12</v>
      </c>
      <c r="F42" s="13" t="s">
        <v>56</v>
      </c>
      <c r="G42" s="13" t="s">
        <v>277</v>
      </c>
      <c r="H42" s="13" t="s">
        <v>278</v>
      </c>
      <c r="I42" s="13" t="s">
        <v>279</v>
      </c>
      <c r="J42" s="13" t="s">
        <v>280</v>
      </c>
      <c r="K42" s="14"/>
      <c r="L42" s="14" t="s">
        <v>25</v>
      </c>
      <c r="M42" s="13" t="s">
        <v>281</v>
      </c>
      <c r="N42" s="13"/>
    </row>
    <row r="43" customFormat="false" ht="35.05" hidden="false" customHeight="false" outlineLevel="0" collapsed="false">
      <c r="A43" s="12" t="s">
        <v>282</v>
      </c>
      <c r="B43" s="13" t="s">
        <v>168</v>
      </c>
      <c r="C43" s="13" t="s">
        <v>86</v>
      </c>
      <c r="D43" s="13" t="s">
        <v>283</v>
      </c>
      <c r="E43" s="13" t="s">
        <v>13</v>
      </c>
      <c r="F43" s="13" t="s">
        <v>56</v>
      </c>
      <c r="G43" s="13" t="s">
        <v>202</v>
      </c>
      <c r="H43" s="13" t="s">
        <v>284</v>
      </c>
      <c r="I43" s="13" t="s">
        <v>285</v>
      </c>
      <c r="J43" s="13" t="s">
        <v>286</v>
      </c>
      <c r="K43" s="14"/>
      <c r="L43" s="14" t="s">
        <v>25</v>
      </c>
      <c r="M43" s="13" t="s">
        <v>281</v>
      </c>
      <c r="N43" s="13"/>
    </row>
    <row r="44" customFormat="false" ht="23.85" hidden="false" customHeight="false" outlineLevel="0" collapsed="false">
      <c r="A44" s="12" t="s">
        <v>287</v>
      </c>
      <c r="B44" s="13" t="s">
        <v>168</v>
      </c>
      <c r="C44" s="13" t="s">
        <v>86</v>
      </c>
      <c r="D44" s="13" t="s">
        <v>288</v>
      </c>
      <c r="E44" s="13" t="s">
        <v>14</v>
      </c>
      <c r="F44" s="13" t="s">
        <v>47</v>
      </c>
      <c r="G44" s="13" t="s">
        <v>202</v>
      </c>
      <c r="H44" s="13" t="s">
        <v>289</v>
      </c>
      <c r="I44" s="13" t="s">
        <v>290</v>
      </c>
      <c r="J44" s="13" t="s">
        <v>291</v>
      </c>
      <c r="K44" s="14"/>
      <c r="L44" s="14" t="s">
        <v>25</v>
      </c>
      <c r="M44" s="13" t="s">
        <v>281</v>
      </c>
      <c r="N44" s="13"/>
    </row>
    <row r="45" customFormat="false" ht="35.05" hidden="false" customHeight="false" outlineLevel="0" collapsed="false">
      <c r="A45" s="12" t="s">
        <v>292</v>
      </c>
      <c r="B45" s="13" t="s">
        <v>168</v>
      </c>
      <c r="C45" s="13" t="s">
        <v>86</v>
      </c>
      <c r="D45" s="13" t="s">
        <v>293</v>
      </c>
      <c r="E45" s="13" t="s">
        <v>14</v>
      </c>
      <c r="F45" s="13" t="s">
        <v>47</v>
      </c>
      <c r="G45" s="13" t="s">
        <v>202</v>
      </c>
      <c r="H45" s="13" t="s">
        <v>294</v>
      </c>
      <c r="I45" s="13" t="s">
        <v>295</v>
      </c>
      <c r="J45" s="13" t="s">
        <v>296</v>
      </c>
      <c r="K45" s="14"/>
      <c r="L45" s="14" t="s">
        <v>25</v>
      </c>
      <c r="M45" s="13" t="s">
        <v>281</v>
      </c>
      <c r="N45" s="13"/>
    </row>
    <row r="46" customFormat="false" ht="35.05" hidden="false" customHeight="false" outlineLevel="0" collapsed="false">
      <c r="A46" s="12" t="s">
        <v>297</v>
      </c>
      <c r="B46" s="13" t="s">
        <v>168</v>
      </c>
      <c r="C46" s="13" t="s">
        <v>86</v>
      </c>
      <c r="D46" s="13" t="s">
        <v>298</v>
      </c>
      <c r="E46" s="13" t="s">
        <v>14</v>
      </c>
      <c r="F46" s="13" t="s">
        <v>47</v>
      </c>
      <c r="G46" s="13" t="s">
        <v>202</v>
      </c>
      <c r="H46" s="13" t="s">
        <v>299</v>
      </c>
      <c r="I46" s="13" t="s">
        <v>300</v>
      </c>
      <c r="J46" s="13" t="s">
        <v>296</v>
      </c>
      <c r="K46" s="14"/>
      <c r="L46" s="14" t="s">
        <v>25</v>
      </c>
      <c r="M46" s="13" t="s">
        <v>281</v>
      </c>
      <c r="N46" s="13"/>
    </row>
    <row r="47" customFormat="false" ht="23.85" hidden="false" customHeight="false" outlineLevel="0" collapsed="false">
      <c r="A47" s="12" t="s">
        <v>301</v>
      </c>
      <c r="B47" s="13" t="s">
        <v>168</v>
      </c>
      <c r="C47" s="13" t="s">
        <v>268</v>
      </c>
      <c r="D47" s="13" t="s">
        <v>302</v>
      </c>
      <c r="E47" s="13" t="s">
        <v>12</v>
      </c>
      <c r="F47" s="13" t="s">
        <v>122</v>
      </c>
      <c r="G47" s="13" t="s">
        <v>202</v>
      </c>
      <c r="H47" s="13" t="s">
        <v>303</v>
      </c>
      <c r="I47" s="13" t="s">
        <v>66</v>
      </c>
      <c r="J47" s="13" t="s">
        <v>304</v>
      </c>
      <c r="K47" s="14"/>
      <c r="L47" s="14" t="s">
        <v>25</v>
      </c>
      <c r="M47" s="13" t="s">
        <v>281</v>
      </c>
      <c r="N47" s="13"/>
    </row>
    <row r="48" customFormat="false" ht="46.25" hidden="false" customHeight="false" outlineLevel="0" collapsed="false">
      <c r="A48" s="12" t="s">
        <v>305</v>
      </c>
      <c r="B48" s="13" t="s">
        <v>168</v>
      </c>
      <c r="C48" s="13" t="s">
        <v>86</v>
      </c>
      <c r="D48" s="13" t="s">
        <v>306</v>
      </c>
      <c r="E48" s="13" t="s">
        <v>14</v>
      </c>
      <c r="F48" s="13" t="s">
        <v>47</v>
      </c>
      <c r="G48" s="13" t="s">
        <v>307</v>
      </c>
      <c r="H48" s="13" t="s">
        <v>308</v>
      </c>
      <c r="I48" s="13" t="s">
        <v>279</v>
      </c>
      <c r="J48" s="13" t="s">
        <v>309</v>
      </c>
      <c r="K48" s="14"/>
      <c r="L48" s="14" t="s">
        <v>25</v>
      </c>
      <c r="M48" s="13" t="s">
        <v>73</v>
      </c>
      <c r="N48" s="13" t="s">
        <v>310</v>
      </c>
    </row>
    <row r="49" customFormat="false" ht="35.05" hidden="false" customHeight="false" outlineLevel="0" collapsed="false">
      <c r="A49" s="12" t="s">
        <v>311</v>
      </c>
      <c r="B49" s="13" t="s">
        <v>168</v>
      </c>
      <c r="C49" s="13" t="s">
        <v>86</v>
      </c>
      <c r="D49" s="13" t="s">
        <v>312</v>
      </c>
      <c r="E49" s="13" t="s">
        <v>14</v>
      </c>
      <c r="F49" s="13" t="s">
        <v>47</v>
      </c>
      <c r="G49" s="13" t="s">
        <v>202</v>
      </c>
      <c r="H49" s="13" t="s">
        <v>313</v>
      </c>
      <c r="I49" s="13" t="s">
        <v>314</v>
      </c>
      <c r="J49" s="13" t="s">
        <v>315</v>
      </c>
      <c r="K49" s="14"/>
      <c r="L49" s="14" t="s">
        <v>25</v>
      </c>
      <c r="M49" s="13" t="s">
        <v>73</v>
      </c>
      <c r="N49" s="13" t="s">
        <v>316</v>
      </c>
    </row>
    <row r="50" customFormat="false" ht="35.05" hidden="false" customHeight="false" outlineLevel="0" collapsed="false">
      <c r="A50" s="12" t="s">
        <v>317</v>
      </c>
      <c r="B50" s="13" t="s">
        <v>168</v>
      </c>
      <c r="C50" s="13" t="s">
        <v>86</v>
      </c>
      <c r="D50" s="13" t="s">
        <v>318</v>
      </c>
      <c r="E50" s="13" t="s">
        <v>14</v>
      </c>
      <c r="F50" s="13" t="s">
        <v>56</v>
      </c>
      <c r="G50" s="13" t="s">
        <v>202</v>
      </c>
      <c r="H50" s="13" t="s">
        <v>319</v>
      </c>
      <c r="I50" s="13" t="s">
        <v>320</v>
      </c>
      <c r="J50" s="13" t="s">
        <v>321</v>
      </c>
      <c r="K50" s="14"/>
      <c r="L50" s="14" t="s">
        <v>25</v>
      </c>
      <c r="M50" s="13" t="s">
        <v>73</v>
      </c>
      <c r="N50" s="13" t="s">
        <v>322</v>
      </c>
    </row>
    <row r="51" customFormat="false" ht="35.05" hidden="false" customHeight="false" outlineLevel="0" collapsed="false">
      <c r="A51" s="12" t="s">
        <v>323</v>
      </c>
      <c r="B51" s="13" t="s">
        <v>168</v>
      </c>
      <c r="C51" s="13" t="s">
        <v>86</v>
      </c>
      <c r="D51" s="13" t="s">
        <v>324</v>
      </c>
      <c r="E51" s="13" t="s">
        <v>13</v>
      </c>
      <c r="F51" s="13" t="s">
        <v>122</v>
      </c>
      <c r="G51" s="13" t="s">
        <v>202</v>
      </c>
      <c r="H51" s="13" t="s">
        <v>325</v>
      </c>
      <c r="I51" s="13" t="s">
        <v>326</v>
      </c>
      <c r="J51" s="13" t="s">
        <v>327</v>
      </c>
      <c r="K51" s="14"/>
      <c r="L51" s="14" t="s">
        <v>25</v>
      </c>
      <c r="M51" s="13" t="s">
        <v>73</v>
      </c>
      <c r="N51" s="13"/>
    </row>
    <row r="52" customFormat="false" ht="35.05" hidden="false" customHeight="false" outlineLevel="0" collapsed="false">
      <c r="A52" s="12" t="s">
        <v>328</v>
      </c>
      <c r="B52" s="13" t="s">
        <v>168</v>
      </c>
      <c r="C52" s="13" t="s">
        <v>329</v>
      </c>
      <c r="D52" s="13" t="s">
        <v>330</v>
      </c>
      <c r="E52" s="13" t="s">
        <v>12</v>
      </c>
      <c r="F52" s="13" t="s">
        <v>56</v>
      </c>
      <c r="G52" s="13" t="s">
        <v>202</v>
      </c>
      <c r="H52" s="13" t="s">
        <v>331</v>
      </c>
      <c r="I52" s="13" t="s">
        <v>66</v>
      </c>
      <c r="J52" s="13" t="s">
        <v>332</v>
      </c>
      <c r="K52" s="14"/>
      <c r="L52" s="14" t="s">
        <v>25</v>
      </c>
      <c r="M52" s="13" t="s">
        <v>73</v>
      </c>
      <c r="N52" s="13" t="s">
        <v>333</v>
      </c>
    </row>
    <row r="53" customFormat="false" ht="46.25" hidden="false" customHeight="false" outlineLevel="0" collapsed="false">
      <c r="A53" s="12" t="s">
        <v>334</v>
      </c>
      <c r="B53" s="13" t="s">
        <v>168</v>
      </c>
      <c r="C53" s="13" t="s">
        <v>268</v>
      </c>
      <c r="D53" s="13" t="s">
        <v>335</v>
      </c>
      <c r="E53" s="13" t="s">
        <v>13</v>
      </c>
      <c r="F53" s="13" t="s">
        <v>122</v>
      </c>
      <c r="G53" s="13" t="s">
        <v>202</v>
      </c>
      <c r="H53" s="13" t="s">
        <v>336</v>
      </c>
      <c r="I53" s="13" t="s">
        <v>337</v>
      </c>
      <c r="J53" s="13" t="s">
        <v>338</v>
      </c>
      <c r="K53" s="14"/>
      <c r="L53" s="14" t="s">
        <v>25</v>
      </c>
      <c r="M53" s="13" t="s">
        <v>73</v>
      </c>
      <c r="N53" s="13"/>
    </row>
    <row r="54" customFormat="false" ht="23.85" hidden="false" customHeight="false" outlineLevel="0" collapsed="false">
      <c r="A54" s="12" t="s">
        <v>339</v>
      </c>
      <c r="B54" s="13" t="s">
        <v>168</v>
      </c>
      <c r="C54" s="13" t="s">
        <v>268</v>
      </c>
      <c r="D54" s="13" t="s">
        <v>340</v>
      </c>
      <c r="E54" s="13" t="s">
        <v>13</v>
      </c>
      <c r="F54" s="13" t="s">
        <v>56</v>
      </c>
      <c r="G54" s="13" t="s">
        <v>202</v>
      </c>
      <c r="H54" s="13" t="s">
        <v>341</v>
      </c>
      <c r="I54" s="13" t="s">
        <v>279</v>
      </c>
      <c r="J54" s="13" t="s">
        <v>342</v>
      </c>
      <c r="K54" s="14"/>
      <c r="L54" s="14" t="s">
        <v>25</v>
      </c>
      <c r="M54" s="13" t="s">
        <v>73</v>
      </c>
      <c r="N54" s="13"/>
    </row>
    <row r="55" customFormat="false" ht="23.85" hidden="false" customHeight="false" outlineLevel="0" collapsed="false">
      <c r="A55" s="12" t="s">
        <v>343</v>
      </c>
      <c r="B55" s="13" t="s">
        <v>168</v>
      </c>
      <c r="C55" s="13" t="s">
        <v>268</v>
      </c>
      <c r="D55" s="13" t="s">
        <v>344</v>
      </c>
      <c r="E55" s="13" t="s">
        <v>13</v>
      </c>
      <c r="F55" s="13" t="s">
        <v>122</v>
      </c>
      <c r="G55" s="13" t="s">
        <v>345</v>
      </c>
      <c r="H55" s="13" t="s">
        <v>346</v>
      </c>
      <c r="I55" s="13" t="s">
        <v>66</v>
      </c>
      <c r="J55" s="13" t="s">
        <v>347</v>
      </c>
      <c r="K55" s="14"/>
      <c r="L55" s="14" t="s">
        <v>25</v>
      </c>
      <c r="M55" s="13" t="s">
        <v>73</v>
      </c>
      <c r="N55" s="13"/>
    </row>
  </sheetData>
  <autoFilter ref="A1:N55"/>
  <conditionalFormatting sqref="L2:L55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</conditionalFormatting>
  <conditionalFormatting sqref="N2:N55">
    <cfRule type="expression" priority="5" aboveAverage="0" equalAverage="0" bottom="0" percent="0" rank="0" text="" dxfId="8">
      <formula>ISNUMBER(SEARCH("Potential defect",N2))</formula>
    </cfRule>
  </conditionalFormatting>
  <dataValidations count="1">
    <dataValidation allowBlank="false" errorStyle="stop" operator="between" showDropDown="false" showErrorMessage="false" showInputMessage="false" sqref="L2:L55" type="list">
      <formula1>"Not Run,Pass,Fail,Blocked,Skipped"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2026-10-14T04:40:39Z</dcterms:created>
  <dc:creator>openpyxl</dc:creator>
  <dc:description/>
  <dc:language>en-US</dc:language>
  <cp:lastModifiedBy/>
  <dcterms:modified xsi:type="dcterms:W3CDTF">2026-10-14T04:40:40Z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